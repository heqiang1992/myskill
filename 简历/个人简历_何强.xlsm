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D61" lockStructure="1"/>
  <bookViews>
    <workbookView windowWidth="30720" windowHeight="13224"/>
  </bookViews>
  <sheets>
    <sheet name="个人简历" sheetId="1" r:id="rId1"/>
    <sheet name="选项" sheetId="2" state="hidden" r:id="rId2"/>
    <sheet name="省市关系" sheetId="3" state="hidden" r:id="rId3"/>
    <sheet name="市地区关系" sheetId="4" state="hidden" r:id="rId4"/>
  </sheets>
  <definedNames>
    <definedName name="阿坝藏族羌族自治州">市地区关系!$KY$2:$KY$1048576</definedName>
    <definedName name="阿克苏地区">市地区关系!$KW$2:$KW$1048576</definedName>
    <definedName name="阿拉善盟">市地区关系!$KZ$2:$KZ$1048576</definedName>
    <definedName name="阿勒泰地区">市地区关系!$KX$2:$KX$1048576</definedName>
    <definedName name="阿里地区">市地区关系!$LA$2:$LA$1048576</definedName>
    <definedName name="安徽省">省市关系!$L$2:$L$18</definedName>
    <definedName name="安康市">市地区关系!$CK$2:$CK$1048576</definedName>
    <definedName name="安庆市">市地区关系!$CJ$2:$CJ$1048576</definedName>
    <definedName name="安顺市">市地区关系!$CM$2:$CM$1048576</definedName>
    <definedName name="安阳市">市地区关系!$CL$2:$CL$1048576</definedName>
    <definedName name="鞍山市">市地区关系!$LF$2:$LF$1048576</definedName>
    <definedName name="澳门特别行政区">省市关系!$AG$2</definedName>
    <definedName name="巴彦淖尔市">市地区关系!$DA$2:$DA$1048576</definedName>
    <definedName name="巴音郭楞蒙古自治州">市地区关系!$DB$2:$DB$1048576</definedName>
    <definedName name="巴中市">市地区关系!$CZ$2:$CZ$1048576</definedName>
    <definedName name="白城市">市地区关系!$HO$2:$HO$1048576</definedName>
    <definedName name="白山市">市地区关系!$HP$2:$HP$1048576</definedName>
    <definedName name="白银市">市地区关系!$HQ$2:$HQ$1048576</definedName>
    <definedName name="百色市">市地区关系!$HR$2:$HR$1048576</definedName>
    <definedName name="蚌埠市">市地区关系!$IU$2:$IU$1048576</definedName>
    <definedName name="包头市">市地区关系!$AL$2:$AL$1048576</definedName>
    <definedName name="宝鸡市">市地区关系!$CR$2:$CR$1048576</definedName>
    <definedName name="保定市">市地区关系!$AA$2:$AA$1048576</definedName>
    <definedName name="保山市">市地区关系!$AB$2:$AB$1048576</definedName>
    <definedName name="北海市">市地区关系!$AN$2:$AN$1048576</definedName>
    <definedName name="北京市" localSheetId="3">市地区关系!$AM$2:$AM$1048576</definedName>
    <definedName name="北京市">省市关系!$A$2</definedName>
    <definedName name="本科_成人高考">选项!$AA$2:$AA$5</definedName>
    <definedName name="本科_代培生">选项!$Z$2:$Z$5</definedName>
    <definedName name="本科_统招生">选项!$V$2:$V$4</definedName>
    <definedName name="本科_专升本">选项!$AB$2:$AB$5</definedName>
    <definedName name="本溪市">市地区关系!$EZ$2:$EZ$1048576</definedName>
    <definedName name="毕节地区">市地区关系!$FP$2:$FP$1048576</definedName>
    <definedName name="滨州市">市地区关系!$GZ$2:$GZ$1048576</definedName>
    <definedName name="亳州市">市地区关系!$V$2:$V$1048576</definedName>
    <definedName name="博尔塔拉蒙古自治州">市地区关系!$AW$2:$AW$1048576</definedName>
    <definedName name="博士">选项!$X$2:$X$5</definedName>
    <definedName name="博士研究生">选项!$X$2:$X$5</definedName>
    <definedName name="沧州市">市地区关系!$FX$2:$FX$1048576</definedName>
    <definedName name="昌都地区">市地区关系!$ER$2:$ER$1048576</definedName>
    <definedName name="昌吉回族自治州">市地区关系!$EQ$2:$EQ$1048576</definedName>
    <definedName name="常德市">市地区关系!$DD$2:$DD$1048576</definedName>
    <definedName name="常州市">市地区关系!$DC$2:$DC$1048576</definedName>
    <definedName name="巢湖市">市地区关系!$CY$2:$CY$1048576</definedName>
    <definedName name="朝阳市">市地区关系!$EY$2:$EY$1048576</definedName>
    <definedName name="潮州市">市地区关系!$HD$2:$HD$1048576</definedName>
    <definedName name="郴州市">市地区关系!$JY$2:$JY$1048576</definedName>
    <definedName name="成都市">市地区关系!$EB$2:$EB$1048576</definedName>
    <definedName name="承德市">市地区关系!$ED$2:$ED$1048576</definedName>
    <definedName name="池州市">市地区关系!$FV$2:$FV$1048576</definedName>
    <definedName name="赤峰市">市地区关系!$JI$2:$JI$1048576</definedName>
    <definedName name="崇左市">市地区关系!$CX$2:$CX$1048576</definedName>
    <definedName name="出生年份">选项!$A$2:$A$51</definedName>
    <definedName name="出生日期">选项!$C$2:$C$32</definedName>
    <definedName name="出生月份">选项!$B$2:$B$13</definedName>
    <definedName name="滁州市">市地区关系!$GY$2:$GY$1048576</definedName>
    <definedName name="楚雄彝族自治州">市地区关系!$FL$2:$FL$1048576</definedName>
    <definedName name="达州市">市地区关系!$JL$2:$JL$1048576</definedName>
    <definedName name="大理白族自治州">市地区关系!$BZ$2:$BZ$1048576</definedName>
    <definedName name="大连市">市地区关系!$CA$2:$CA$1048576</definedName>
    <definedName name="大庆市">市地区关系!$BY$2:$BY$1048576</definedName>
    <definedName name="大同市">市地区关系!$BX$2:$BX$1048576</definedName>
    <definedName name="大兴安岭地区">市地区关系!$BW$2:$BW$1048576</definedName>
    <definedName name="大专_成人高考">选项!$AF$2:$AF$5</definedName>
    <definedName name="大专_代培生">选项!$AE$2:$AE$5</definedName>
    <definedName name="大专_统招生">选项!$AD$2:$AD$5</definedName>
    <definedName name="丹东市">市地区关系!$M$2:$M$1048576</definedName>
    <definedName name="德宏傣族景颇族自治州">市地区关系!$DS$2:$DS$1048576</definedName>
    <definedName name="德阳市">市地区关系!$DU$2:$DU$1048576</definedName>
    <definedName name="德州市">市地区关系!$DT$2:$DT$1048576</definedName>
    <definedName name="迪庆藏族自治州">市地区关系!$JO$2:$JO$1048576</definedName>
    <definedName name="定西市">市地区关系!$CN$2:$CN$1048576</definedName>
    <definedName name="东营市">市地区关系!$G$2:$G$1048576</definedName>
    <definedName name="鄂尔多斯市">市地区关系!$JZ$2:$JZ$1048576</definedName>
    <definedName name="鄂州市">市地区关系!$KA$2:$KA$1048576</definedName>
    <definedName name="恩施土家族苗族自治州">市地区关系!$DZ$2:$DZ$1048576</definedName>
    <definedName name="防城港市">市地区关系!$KT$2:$KT$1048576</definedName>
    <definedName name="佛山市">市地区关系!$Y$2:$Y$1048576</definedName>
    <definedName name="福建省">省市关系!$M$2:$M$10</definedName>
    <definedName name="福州市">市地区关系!$HZ$2:$HZ$1048576</definedName>
    <definedName name="抚顺市">市地区关系!$EF$2:$EF$1048576</definedName>
    <definedName name="抚州市">市地区关系!$EE$2:$EE$1048576</definedName>
    <definedName name="阜新市">市地区关系!$KR$2:$KR$1048576</definedName>
    <definedName name="阜阳市">市地区关系!$KS$2:$KS$1048576</definedName>
    <definedName name="甘南藏族自治州">市地区关系!$HM$2:$HM$1048576</definedName>
    <definedName name="甘肃省">省市关系!$AB$2:$AB$15</definedName>
    <definedName name="甘孜藏族自治州">市地区关系!$HN$2:$HN$1048576</definedName>
    <definedName name="赣州市">市地区关系!$JH$2:$JH$1048576</definedName>
    <definedName name="高中">选项!$U$2:$U$3</definedName>
    <definedName name="固原市">市地区关系!$BU$2:$BU$1048576</definedName>
    <definedName name="广安市">市地区关系!$DH$2:$DH$1048576</definedName>
    <definedName name="广东省">省市关系!$S$2:$S$22</definedName>
    <definedName name="广西壮族自治区">省市关系!$T$2:$T$15</definedName>
    <definedName name="广元市">市地区关系!$DG$2:$DG$1048576</definedName>
    <definedName name="广州市">市地区关系!$DI$2:$DI$1048576</definedName>
    <definedName name="贵港市">市地区关系!$JD$2:$JD$1048576</definedName>
    <definedName name="贵阳市">市地区关系!$JE$2:$JE$1048576</definedName>
    <definedName name="贵州省">省市关系!$X$2:$X$10</definedName>
    <definedName name="桂林市">市地区关系!$FI$2:$FI$1048576</definedName>
    <definedName name="果洛藏族自治州">市地区关系!$FE$2:$FE$1048576</definedName>
    <definedName name="哈尔滨市">市地区关系!$BN$2:$BN$1048576</definedName>
    <definedName name="哈密地区">市地区关系!$BM$2:$BM$1048576</definedName>
    <definedName name="海北藏族自治州">市地区关系!$GI$2:$GI$1048576</definedName>
    <definedName name="海东地区">市地区关系!$GH$2:$GH$1048576</definedName>
    <definedName name="海口市">市地区关系!$GK$2:$GK$1048576</definedName>
    <definedName name="海南藏族自治州">市地区关系!$GJ$2:$GJ$1048576</definedName>
    <definedName name="海南省">省市关系!$U$2:$U$3</definedName>
    <definedName name="海西蒙古族藏族自治州">市地区关系!$GL$2:$GL$1048576</definedName>
    <definedName name="邯郸市">市地区关系!$JV$2:$JV$1048576</definedName>
    <definedName name="函授">选项!$X$4:$AF$4</definedName>
    <definedName name="汉中市">市地区关系!$FR$2:$FR$1048576</definedName>
    <definedName name="杭州市">市地区关系!$FB$2:$FB$1048576</definedName>
    <definedName name="合肥市">市地区关系!$BA$2:$BA$1048576</definedName>
    <definedName name="和田地区">市地区关系!$BJ$2:$BJ$1048576</definedName>
    <definedName name="河北省">省市关系!$C$2:$C$12</definedName>
    <definedName name="河池市">市地区关系!$FY$2:$FY$1048576</definedName>
    <definedName name="河南省">省市关系!$P$2:$P$18</definedName>
    <definedName name="河源市">市地区关系!$FZ$2:$FZ$1048576</definedName>
    <definedName name="荷泽市">市地区关系!$IO$2:$IO$1048576</definedName>
    <definedName name="贺州市">市地区关系!$JF$2:$JF$1048576</definedName>
    <definedName name="鹤壁市">市地区关系!$LK$2:$LK$1048576</definedName>
    <definedName name="鹤岗市">市地区关系!$LL$2:$LL$1048576</definedName>
    <definedName name="黑河市">市地区关系!$LR$2:$LR$1048576</definedName>
    <definedName name="黑龙江省">省市关系!$H$2:$H$14</definedName>
    <definedName name="衡水市">市地区关系!$IV$2:$IV$1048576</definedName>
    <definedName name="衡阳市">市地区关系!$IW$2:$IW$1048576</definedName>
    <definedName name="红河哈尼族彝族自治州">市地区关系!$IB$2:$IB$1048576</definedName>
    <definedName name="呼和浩特市">市地区关系!$BI$2:$BI$1048576</definedName>
    <definedName name="呼伦贝尔市">市地区关系!$BH$2:$BH$1048576</definedName>
    <definedName name="葫芦岛市">市地区关系!$IT$2:$IT$1048576</definedName>
    <definedName name="湖北省">省市关系!$Q$2:$Q$15</definedName>
    <definedName name="湖南省">省市关系!$R$2:$R$15</definedName>
    <definedName name="湖州市">市地区关系!$GU$2:$GU$1048576</definedName>
    <definedName name="怀化市">市地区关系!$DW$2:$DW$1048576</definedName>
    <definedName name="淮安市">市地区关系!$GP$2:$GP$1048576</definedName>
    <definedName name="淮北市">市地区关系!$GN$2:$GN$1048576</definedName>
    <definedName name="淮南市">市地区关系!$GO$2:$GO$1048576</definedName>
    <definedName name="黄冈市">市地区关系!$LN$2:$LN$1048576</definedName>
    <definedName name="黄南藏族自治州">市地区关系!$LO$2:$LO$1048576</definedName>
    <definedName name="黄山市">市地区关系!$LP$2:$LP$1048576</definedName>
    <definedName name="黄石市">市地区关系!$LQ$2:$LQ$1048576</definedName>
    <definedName name="惠州市">市地区关系!$EA$2:$EA$1048576</definedName>
    <definedName name="鸡西市">市地区关系!$LJ$2:$LJ$1048576</definedName>
    <definedName name="吉安市">市地区关系!$BB$2:$BB$1048576</definedName>
    <definedName name="吉林省">省市关系!$G$2:$G$10</definedName>
    <definedName name="吉林市">市地区关系!$BC$2:$BC$1048576</definedName>
    <definedName name="济南市">市地区关系!$GF$2:$GF$1048576</definedName>
    <definedName name="济宁市">市地区关系!$GG$2:$GG$1048576</definedName>
    <definedName name="佳木斯市">市地区关系!$Z$2:$Z$1048576</definedName>
    <definedName name="嘉兴市">市地区关系!$BS$2:$BS$1048576</definedName>
    <definedName name="江门市">市地区关系!$FU$2:$FU$1048576</definedName>
    <definedName name="江苏省">省市关系!$J$2:$J$14</definedName>
    <definedName name="江西省">省市关系!$N$2:$N$12</definedName>
    <definedName name="焦作市">市地区关系!$HG$2:$HG$1048576</definedName>
    <definedName name="揭阳市">市地区关系!$EH$2:$EH$1048576</definedName>
    <definedName name="金昌市">市地区关系!$KE$2:$KE$1048576</definedName>
    <definedName name="金华市">市地区关系!$KD$2:$KD$1048576</definedName>
    <definedName name="锦州市">市地区关系!$KM$2:$KM$1048576</definedName>
    <definedName name="晋城市">市地区关系!$EU$2:$EU$1048576</definedName>
    <definedName name="晋中市">市地区关系!$ET$2:$ET$1048576</definedName>
    <definedName name="荆门市">市地区关系!$IN$2:$IN$1048576</definedName>
    <definedName name="荆州市">市地区关系!$IM$2:$IM$1048576</definedName>
    <definedName name="景德镇市">市地区关系!$EV$2:$EV$1048576</definedName>
    <definedName name="九江市">市地区关系!$T$2:$T$1048576</definedName>
    <definedName name="酒泉市">市地区关系!$KB$2:$KB$1048576</definedName>
    <definedName name="喀什地区">市地区关系!$BR$2:$BR$1048576</definedName>
    <definedName name="开封市">市地区关系!$DN$2:$DN$1048576</definedName>
    <definedName name="克拉玛依市">市地区关系!$AE$2:$AE$1048576</definedName>
    <definedName name="克孜勒苏柯尔克孜自治州">市地区关系!$AD$2:$AD$1048576</definedName>
    <definedName name="昆明市">市地区关系!$EP$2:$EP$1048576</definedName>
    <definedName name="拉萨市">市地区关系!$EG$2:$EG$1048576</definedName>
    <definedName name="来宾市">市地区关系!$FA$2:$FA$1048576</definedName>
    <definedName name="莱芜市">市地区关系!$IQ$2:$IQ$1048576</definedName>
    <definedName name="兰州市">市地区关系!$AH$2:$AH$1048576</definedName>
    <definedName name="廊坊市">市地区关系!$DK$2:$DK$1048576</definedName>
    <definedName name="乐山市">市地区关系!$S$2:$S$1048576</definedName>
    <definedName name="丽江市">市地区关系!$O$2:$O$1048576</definedName>
    <definedName name="丽水市">市地区关系!$N$2:$N$1048576</definedName>
    <definedName name="连云港市">市地区关系!$JN$2:$JN$1048576</definedName>
    <definedName name="凉山彝族自治州">市地区关系!$AK$2:$AK$1048576</definedName>
    <definedName name="辽宁省">省市关系!$F$2:$F$15</definedName>
    <definedName name="辽阳市">市地区关系!$JK$2:$JK$1048576</definedName>
    <definedName name="辽源市">市地区关系!$JJ$2:$JJ$1048576</definedName>
    <definedName name="聊城市">市地区关系!$IF$2:$IF$1048576</definedName>
    <definedName name="林芝地区">市地区关系!$FD$2:$FD$1048576</definedName>
    <definedName name="临沧市">市地区关系!$L$2:$L$1048576</definedName>
    <definedName name="临汾市">市地区关系!$J$2:$J$1048576</definedName>
    <definedName name="临夏回族自治州">市地区关系!$I$2:$I$1048576</definedName>
    <definedName name="临沂市">市地区关系!$K$2:$K$1048576</definedName>
    <definedName name="柳州市">市地区关系!$FG$2:$FG$1048576</definedName>
    <definedName name="六安市">市地区关系!$AF$2:$AF$1048576</definedName>
    <definedName name="六盘水市">市地区关系!$AG$2:$AG$1048576</definedName>
    <definedName name="龙岩市">市地区关系!$LW$2:$LW$1048576</definedName>
    <definedName name="陇南市">市地区关系!$LB$2:$LB$1048576</definedName>
    <definedName name="娄底市">市地区关系!$CF$2:$CF$1048576</definedName>
    <definedName name="泸州市">市地区关系!$GD$2:$GD$1048576</definedName>
    <definedName name="洛阳市">市地区关系!$GE$2:$GE$1048576</definedName>
    <definedName name="漯河市">市地区关系!$HA$2:$HA$1048576</definedName>
    <definedName name="吕梁市">市地区关系!$BE$2:$BE$1048576</definedName>
    <definedName name="马鞍山市">市地区关系!$LH$2:$LH$1048576</definedName>
    <definedName name="茂名市">市地区关系!$IL$2:$IL$1048576</definedName>
    <definedName name="眉山市">市地区关系!$HV$2:$HV$1048576</definedName>
    <definedName name="梅州市">市地区关系!$FJ$2:$FJ$1048576</definedName>
    <definedName name="绵阳市">市地区关系!$IE$2:$IE$1048576</definedName>
    <definedName name="民族">选项!$D$2:$D$57</definedName>
    <definedName name="牡丹江市">市地区关系!$HH$2:$HH$1048576</definedName>
    <definedName name="那曲地区">市地区关系!$JU$2:$JU$1048576</definedName>
    <definedName name="南昌市">市地区关系!$AT$2:$AT$1048576</definedName>
    <definedName name="南充市">市地区关系!$AQ$2:$AQ$1048576</definedName>
    <definedName name="南京市">市地区关系!$AP$2:$AP$1048576</definedName>
    <definedName name="南宁市">市地区关系!$AR$2:$AR$1048576</definedName>
    <definedName name="南平市">市地区关系!$AS$2:$AS$1048576</definedName>
    <definedName name="南通市">市地区关系!$AU$2:$AU$1048576</definedName>
    <definedName name="南阳市">市地区关系!$AV$2:$AV$1048576</definedName>
    <definedName name="内江市">市地区关系!$AJ$2:$AJ$1048576</definedName>
    <definedName name="内蒙古自治区">省市关系!$E$2:$E$13</definedName>
    <definedName name="宁波市">市地区关系!$CI$2:$CI$1048576</definedName>
    <definedName name="宁德市">市地区关系!$CH$2:$CH$1048576</definedName>
    <definedName name="宁夏回族自治区">省市关系!$AD$2:$AD$6</definedName>
    <definedName name="怒江傈僳族自治州">市地区关系!$DX$2:$DX$1048576</definedName>
    <definedName name="攀枝花市">市地区关系!$EI$2:$EI$1048576</definedName>
    <definedName name="盘锦市">市地区关系!$HU$2:$HU$1048576</definedName>
    <definedName name="平顶山市">市地区关系!$DF$2:$DF$1048576</definedName>
    <definedName name="平凉市">市地区关系!$DE$2:$DE$1048576</definedName>
    <definedName name="萍乡市">市地区关系!$IR$2:$IR$1048576</definedName>
    <definedName name="莆田市">市地区关系!$IP$2:$IP$1048576</definedName>
    <definedName name="濮阳市">市地区关系!$HE$2:$HE$1048576</definedName>
    <definedName name="七台河市">市地区关系!$A$2:$A$1048576</definedName>
    <definedName name="齐齐哈尔市">市地区关系!$LV$2:$LV$1048576</definedName>
    <definedName name="黔东南苗族侗族自治州">市地区关系!$LS$2:$LS$1048576</definedName>
    <definedName name="黔南布依族苗族自治州">市地区关系!$LT$2:$LT$1048576</definedName>
    <definedName name="黔西南布依族苗族自治州">市地区关系!$LU$2:$LU$1048576</definedName>
    <definedName name="钦州市">市地区关系!$KF$2:$KF$1048576</definedName>
    <definedName name="秦皇岛市">市地区关系!$IA$2:$IA$1048576</definedName>
    <definedName name="青岛市">市地区关系!$LE$2:$LE$1048576</definedName>
    <definedName name="青海省">省市关系!$AC$2:$AC$9</definedName>
    <definedName name="清远市">市地区关系!$GR$2:$GR$1048576</definedName>
    <definedName name="庆阳市">市地区关系!$DJ$2:$DJ$1048576</definedName>
    <definedName name="衢州市">市地区关系!$IX$2:$IX$1048576</definedName>
    <definedName name="曲靖市">市地区关系!$EW$2:$EW$1048576</definedName>
    <definedName name="全日制">选项!$X$5:$AF$5</definedName>
    <definedName name="泉州市">市地区关系!$GA$2:$GA$1048576</definedName>
    <definedName name="日喀则地区">市地区关系!$EN$2:$EN$1048576</definedName>
    <definedName name="日照市">市地区关系!$EO$2:$EO$1048576</definedName>
    <definedName name="入学_就读类型">选项!$W$2:$W$5</definedName>
    <definedName name="三门峡市">市地区关系!$D$2:$D$1048576</definedName>
    <definedName name="三明市">市地区关系!$C$2:$C$1048576</definedName>
    <definedName name="三亚市">市地区关系!$B$2:$B$1048576</definedName>
    <definedName name="厦门市">市地区关系!$AX$2:$AX$1048576</definedName>
    <definedName name="山东省">省市关系!$O$2:$O$18</definedName>
    <definedName name="山南地区">市地区关系!$CV$2:$CV$1048576</definedName>
    <definedName name="山西省">省市关系!$D$2:$D$12</definedName>
    <definedName name="陕西省">省市关系!$AA$2:$AA$11</definedName>
    <definedName name="汕头市">市地区关系!$FS$2:$FS$1048576</definedName>
    <definedName name="汕尾市">市地区关系!$FT$2:$FT$1048576</definedName>
    <definedName name="商洛市">市地区关系!$BQ$2:$BQ$1048576</definedName>
    <definedName name="商丘市">市地区关系!$BP$2:$BP$1048576</definedName>
    <definedName name="上海市" localSheetId="3">市地区关系!$E$2:$E$1048576</definedName>
    <definedName name="上海市">省市关系!$I$2</definedName>
    <definedName name="上饶市">市地区关系!$F$2:$F$1048576</definedName>
    <definedName name="韶关市">市地区关系!$LG$2:$LG$1048576</definedName>
    <definedName name="邵阳市">市地区关系!$JW$2:$JW$1048576</definedName>
    <definedName name="绍兴市">市地区关系!$IC$2:$IC$1048576</definedName>
    <definedName name="深圳市">市地区关系!$GQ$2:$GQ$1048576</definedName>
    <definedName name="神农架">市地区关系!$HY$2:$HY$1048576</definedName>
    <definedName name="沈阳市">市地区关系!$FW$2:$FW$1048576</definedName>
    <definedName name="省">选项!$H$2:$H$35</definedName>
    <definedName name="十堰市">市地区关系!$AO$2:$AO$1048576</definedName>
    <definedName name="石家庄市">市地区关系!$HX$2:$HX$1048576</definedName>
    <definedName name="石嘴山市">市地区关系!$HW$2:$HW$1048576</definedName>
    <definedName name="是否全日制">选项!$AG$2:$AG$3</definedName>
    <definedName name="双鸭山市">市地区关系!$AY$2:$AY$1048576</definedName>
    <definedName name="朔州市">市地区关系!$EX$2:$EX$1048576</definedName>
    <definedName name="硕士研究生">选项!$Y$2:$Y$5</definedName>
    <definedName name="思茅市">市地区关系!$DY$2:$DY$1048576</definedName>
    <definedName name="四川省">省市关系!$W$2:$W$22</definedName>
    <definedName name="四平市">市地区关系!$BT$2:$BT$1048576</definedName>
    <definedName name="松原市">市地区关系!$FC$2:$FC$1048576</definedName>
    <definedName name="苏州市">市地区关系!$IK$2:$IK$1048576</definedName>
    <definedName name="绥化市">市地区关系!$ID$2:$ID$1048576</definedName>
    <definedName name="随州市">市地区关系!$LC$2:$LC$1048576</definedName>
    <definedName name="遂宁市">市地区关系!$JR$2:$JR$1048576</definedName>
    <definedName name="塔城地区">市地区关系!$BV$2:$BV$1048576</definedName>
    <definedName name="台湾省">省市关系!$AH$2</definedName>
    <definedName name="台州市">市地区关系!$AZ$2:$AZ$1048576</definedName>
    <definedName name="太原市">市地区关系!$CD$2:$CD$1048576</definedName>
    <definedName name="泰安市">市地区关系!$GB$2:$GB$1048576</definedName>
    <definedName name="泰州市">市地区关系!$GC$2:$GC$1048576</definedName>
    <definedName name="唐山市">市地区关系!$BO$2:$BO$1048576</definedName>
    <definedName name="天津市" localSheetId="3">市地区关系!$CC$2:$CC$1048576</definedName>
    <definedName name="天津市">省市关系!$B$2</definedName>
    <definedName name="天水市">市地区关系!$CB$2:$CB$1048576</definedName>
    <definedName name="铁岭市">市地区关系!$KG$2:$KG$1048576</definedName>
    <definedName name="通化市">市地区关系!$JP$2:$JP$1048576</definedName>
    <definedName name="通辽市">市地区关系!$JQ$2:$JQ$1048576</definedName>
    <definedName name="铜川市">市地区关系!$KI$2:$KI$1048576</definedName>
    <definedName name="铜陵市">市地区关系!$KJ$2:$KJ$1048576</definedName>
    <definedName name="铜仁地区">市地区关系!$KH$2:$KH$1048576</definedName>
    <definedName name="吐鲁番地区">市地区关系!$BD$2:$BD$1048576</definedName>
    <definedName name="脱产">选项!$X$2:$AF$2</definedName>
    <definedName name="威海市">市地区关系!$CE$2:$CE$1048576</definedName>
    <definedName name="潍坊市">市地区关系!$HC$2:$HC$1048576</definedName>
    <definedName name="渭南市">市地区关系!$GT$2:$GT$1048576</definedName>
    <definedName name="温州市">市地区关系!$GS$2:$GS$1048576</definedName>
    <definedName name="文山壮族苗族自治州">市地区关系!$EJ$2:$EJ$1048576</definedName>
    <definedName name="乌海市">市地区关系!$Q$2:$Q$1048576</definedName>
    <definedName name="乌兰察布市">市地区关系!$P$2:$P$1048576</definedName>
    <definedName name="乌鲁木齐市">市地区关系!$R$2:$R$1048576</definedName>
    <definedName name="无锡市">市地区关系!$EM$2:$EM$1048576</definedName>
    <definedName name="芜湖市">市地区关系!$IJ$2:$IJ$1048576</definedName>
    <definedName name="吴忠市">市地区关系!$BF$2:$BF$1048576</definedName>
    <definedName name="梧州市">市地区关系!$FK$2:$FK$1048576</definedName>
    <definedName name="武汉市">市地区关系!$FO$2:$FO$1048576</definedName>
    <definedName name="武威市">市地区关系!$FN$2:$FN$1048576</definedName>
    <definedName name="西安市">市地区关系!$JB$2:$JB$1048576</definedName>
    <definedName name="西藏自治区">省市关系!$Z$2:$Z$8</definedName>
    <definedName name="西宁市">市地区关系!$JA$2:$JA$1048576</definedName>
    <definedName name="西双版纳傣族自治州">市地区关系!$IZ$2:$IZ$1048576</definedName>
    <definedName name="锡林郭勒盟">市地区关系!$KL$2:$KL$1048576</definedName>
    <definedName name="咸宁市">市地区关系!$BK$2:$BK$1048576</definedName>
    <definedName name="咸阳市">市地区关系!$BL$2:$BL$1048576</definedName>
    <definedName name="香港特别行政区">省市关系!$AF$2</definedName>
    <definedName name="湘潭市">市地区关系!$GV$2:$GV$1048576</definedName>
    <definedName name="湘西土家族苗族自治州">市地区关系!$GW$2:$GW$1048576</definedName>
    <definedName name="襄樊市">市地区关系!$IY$2:$IY$1048576</definedName>
    <definedName name="孝感市">市地区关系!$CG$2:$CG$1048576</definedName>
    <definedName name="忻州市">市地区关系!$DV$2:$DV$1048576</definedName>
    <definedName name="新疆维吾尔自治区">省市关系!$AE$2:$AE$19</definedName>
    <definedName name="新乡市">市地区关系!$EK$2:$EK$1048576</definedName>
    <definedName name="新余市">市地区关系!$EL$2:$EL$1048576</definedName>
    <definedName name="信阳市">市地区关系!$AC$2:$AC$1048576</definedName>
    <definedName name="邢台市">市地区关系!$JT$2:$JT$1048576</definedName>
    <definedName name="兴安盟">市地区关系!$AI$2:$AI$1048576</definedName>
    <definedName name="宿迁市">市地区关系!$CU$2:$CU$1048576</definedName>
    <definedName name="宿州市">市地区关系!$CT$2:$CT$1048576</definedName>
    <definedName name="徐州市">市地区关系!$DR$2:$DR$1048576</definedName>
    <definedName name="许昌市">市地区关系!$JC$2:$JC$1048576</definedName>
    <definedName name="宣城市">市地区关系!$CS$2:$CS$1048576</definedName>
    <definedName name="学历">选项!$T$2:$T$13</definedName>
    <definedName name="学位">选项!$F$2:$F$5</definedName>
    <definedName name="雅安市">市地区关系!$LD$2:$LD$1048576</definedName>
    <definedName name="烟台市">市地区关系!$HF$2:$HF$1048576</definedName>
    <definedName name="延安市">市地区关系!$DL$2:$DL$1048576</definedName>
    <definedName name="延边朝鲜族自治州">市地区关系!$DM$2:$DM$1048576</definedName>
    <definedName name="研究生">选项!$Y$2:$Y$4</definedName>
    <definedName name="盐城市">市地区关系!$HT$2:$HT$1048576</definedName>
    <definedName name="扬州市">市地区关系!$EC$2:$EC$1048576</definedName>
    <definedName name="阳江市">市地区关系!$KU$2:$KU$1048576</definedName>
    <definedName name="阳泉市">市地区关系!$KV$2:$KV$1048576</definedName>
    <definedName name="伊春市">市地区关系!$W$2:$W$1048576</definedName>
    <definedName name="伊犁哈萨克自治州">市地区关系!$X$2:$X$1048576</definedName>
    <definedName name="宜宾市">市地区关系!$CO$2:$CO$1048576</definedName>
    <definedName name="宜昌市">市地区关系!$CP$2:$CP$1048576</definedName>
    <definedName name="宜春市">市地区关系!$CQ$2:$CQ$1048576</definedName>
    <definedName name="益阳市">市地区关系!$HS$2:$HS$1048576</definedName>
    <definedName name="银川市">市地区关系!$KK$2:$KK$1048576</definedName>
    <definedName name="鹰潭市">市地区关系!$LM$2:$LM$1048576</definedName>
    <definedName name="营口市">市地区关系!$IS$2:$IS$1048576</definedName>
    <definedName name="永州市">市地区关系!$FQ$2:$FQ$1048576</definedName>
    <definedName name="榆林市">市地区关系!$FM$2:$FM$1048576</definedName>
    <definedName name="玉林市">市地区关系!$HI$2:$HI$1048576</definedName>
    <definedName name="玉树藏族自治州">市地区关系!$HJ$2:$HJ$1048576</definedName>
    <definedName name="玉溪市">市地区关系!$HK$2:$HK$1048576</definedName>
    <definedName name="岳阳市">市地区关系!$CW$2:$CW$1048576</definedName>
    <definedName name="云浮市">市地区关系!$U$2:$U$1048576</definedName>
    <definedName name="云南省">省市关系!$Y$2:$Y$17</definedName>
    <definedName name="运城市">市地区关系!$JM$2:$JM$1048576</definedName>
    <definedName name="在职就读">选项!$X$3:$AF$3</definedName>
    <definedName name="枣庄市">市地区关系!$FF$2:$FF$1048576</definedName>
    <definedName name="湛江市">市地区关系!$GX$2:$GX$1048576</definedName>
    <definedName name="张家界市">市地区关系!$DP$2:$DP$1048576</definedName>
    <definedName name="张家口市">市地区关系!$DO$2:$DO$1048576</definedName>
    <definedName name="张掖市">市地区关系!$DQ$2:$DQ$1048576</definedName>
    <definedName name="漳州市">市地区关系!$HB$2:$HB$1048576</definedName>
    <definedName name="长春市">市地区关系!$KO$2:$KO$1048576</definedName>
    <definedName name="长沙市">市地区关系!$KP$2:$KP$1048576</definedName>
    <definedName name="长治市">市地区关系!$KQ$2:$KQ$1048576</definedName>
    <definedName name="昭通市">市地区关系!$ES$2:$ES$1048576</definedName>
    <definedName name="肇庆市">市地区关系!$IG$2:$IG$1048576</definedName>
    <definedName name="浙江省">省市关系!$K$2:$K$12</definedName>
    <definedName name="镇江市">市地区关系!$KN$2:$KN$1048576</definedName>
    <definedName name="证件类型">选项!$E$2:$E$3</definedName>
    <definedName name="郑州市">市地区关系!$JX$2:$JX$1048576</definedName>
    <definedName name="中卫市">市地区关系!$H$2:$H$1048576</definedName>
    <definedName name="重庆市" localSheetId="3">市地区关系!$KC$2:$KC$1048576</definedName>
    <definedName name="重庆市">省市关系!$V$2</definedName>
    <definedName name="舟山市">市地区关系!$II$2:$II$1048576</definedName>
    <definedName name="周口市">市地区关系!$BG$2:$BG$1048576</definedName>
    <definedName name="珠海市">市地区关系!$HL$2:$HL$1048576</definedName>
    <definedName name="株洲市">市地区关系!$FH$2:$FH$1048576</definedName>
    <definedName name="驻马店市">市地区关系!$LI$2:$LI$1048576</definedName>
    <definedName name="资阳市">市地区关系!$JG$2:$JG$1048576</definedName>
    <definedName name="淄博市">市地区关系!$GM$2:$GM$1048576</definedName>
    <definedName name="自贡市">市地区关系!$IH$2:$IH$1048576</definedName>
    <definedName name="遵义市">市地区关系!$JS$2:$JS$1048576</definedName>
  </definedNames>
  <calcPr calcId="144525" concurrentCalc="0"/>
</workbook>
</file>

<file path=xl/sharedStrings.xml><?xml version="1.0" encoding="utf-8"?>
<sst xmlns="http://schemas.openxmlformats.org/spreadsheetml/2006/main" count="3717">
  <si>
    <t>操作条：</t>
  </si>
  <si>
    <t>日期</t>
  </si>
  <si>
    <t>个人简历</t>
  </si>
  <si>
    <t>个人信息：</t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</si>
  <si>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姓名：</t>
    </r>
  </si>
  <si>
    <t>何强</t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</si>
  <si>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性别：</t>
    </r>
  </si>
  <si>
    <t>男</t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</si>
  <si>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出生年月日：</t>
    </r>
  </si>
  <si>
    <r>
      <rPr>
        <sz val="10"/>
        <color rgb="FFFF0000"/>
        <rFont val="宋体"/>
        <charset val="134"/>
        <scheme val="minor"/>
      </rPr>
      <t>*</t>
    </r>
    <r>
      <rPr>
        <sz val="10"/>
        <color theme="1"/>
        <rFont val="宋体"/>
        <charset val="134"/>
        <scheme val="minor"/>
      </rPr>
      <t>学位：</t>
    </r>
  </si>
  <si>
    <t>学士</t>
  </si>
  <si>
    <t>民族：</t>
  </si>
  <si>
    <t>汉族</t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</si>
  <si>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证件类型：</t>
    </r>
  </si>
  <si>
    <t>身份证</t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</si>
  <si>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证件号：</t>
    </r>
  </si>
  <si>
    <t>510923199203080018</t>
  </si>
  <si>
    <t>户口：</t>
  </si>
  <si>
    <t>四川省</t>
  </si>
  <si>
    <t>成都市</t>
  </si>
  <si>
    <t>双流县</t>
  </si>
  <si>
    <t>籍贯：</t>
  </si>
  <si>
    <t>遂宁市</t>
  </si>
  <si>
    <t>大英县</t>
  </si>
  <si>
    <t>住址：</t>
  </si>
  <si>
    <t>成都市双流区东升镇</t>
  </si>
  <si>
    <t>邮编：</t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</si>
  <si>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手机：</t>
    </r>
  </si>
  <si>
    <t>固话：</t>
  </si>
  <si>
    <t>邮箱：</t>
  </si>
  <si>
    <t>651828863@qq.com</t>
  </si>
  <si>
    <t>微信：</t>
  </si>
  <si>
    <t>微博：</t>
  </si>
  <si>
    <t>个人网页：</t>
  </si>
  <si>
    <t>教育经历：</t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</si>
  <si>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开始时间</t>
    </r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</si>
  <si>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结束时间</t>
    </r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</si>
  <si>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学校</t>
    </r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</si>
  <si>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学位</t>
    </r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</si>
  <si>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学历</t>
    </r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</si>
  <si>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入学/就读类型</t>
    </r>
  </si>
  <si>
    <r>
      <rPr>
        <sz val="10"/>
        <color rgb="FFFF0000"/>
        <rFont val="宋体"/>
        <charset val="134"/>
        <scheme val="minor"/>
      </rPr>
      <t>*</t>
    </r>
    <r>
      <rPr>
        <sz val="10"/>
        <color theme="1"/>
        <rFont val="宋体"/>
        <charset val="134"/>
        <scheme val="minor"/>
      </rPr>
      <t>是否全日制</t>
    </r>
  </si>
  <si>
    <t>专业</t>
  </si>
  <si>
    <t>郑州大学</t>
  </si>
  <si>
    <t>本科_统招生</t>
  </si>
  <si>
    <t>一本</t>
  </si>
  <si>
    <t>是</t>
  </si>
  <si>
    <t>土木工程</t>
  </si>
  <si>
    <t>工作经历：</t>
  </si>
  <si>
    <r>
      <rPr>
        <sz val="10"/>
        <color rgb="FFFF0000"/>
        <rFont val="宋体"/>
        <charset val="134"/>
        <scheme val="minor"/>
      </rPr>
      <t>*</t>
    </r>
    <r>
      <rPr>
        <sz val="10"/>
        <color theme="1"/>
        <rFont val="宋体"/>
        <charset val="134"/>
        <scheme val="minor"/>
      </rPr>
      <t>开始时间</t>
    </r>
  </si>
  <si>
    <r>
      <rPr>
        <sz val="10"/>
        <color rgb="FFFF0000"/>
        <rFont val="宋体"/>
        <charset val="134"/>
        <scheme val="minor"/>
      </rPr>
      <t>*</t>
    </r>
    <r>
      <rPr>
        <sz val="10"/>
        <color theme="1"/>
        <rFont val="宋体"/>
        <charset val="134"/>
        <scheme val="minor"/>
      </rPr>
      <t>结束时间</t>
    </r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</si>
  <si>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工作单位</t>
    </r>
  </si>
  <si>
    <t>规模（人）</t>
  </si>
  <si>
    <t>所属行业</t>
  </si>
  <si>
    <t>部门</t>
  </si>
  <si>
    <t>职位</t>
  </si>
  <si>
    <t>成都乐胜科技有限公司</t>
  </si>
  <si>
    <t>互联网</t>
  </si>
  <si>
    <t>技术部</t>
  </si>
  <si>
    <t>测试</t>
  </si>
  <si>
    <r>
      <rPr>
        <sz val="10"/>
        <color rgb="FFFF0000"/>
        <rFont val="宋体"/>
        <charset val="134"/>
        <scheme val="minor"/>
      </rPr>
      <t>*</t>
    </r>
    <r>
      <rPr>
        <sz val="10"/>
        <color theme="1"/>
        <rFont val="宋体"/>
        <charset val="134"/>
        <scheme val="minor"/>
      </rPr>
      <t>工作描述：</t>
    </r>
  </si>
  <si>
    <t>提示：填写岗位职责、在岗时长、工作成果与业绩等信息，如果包含管理工作，请描述管理思路和管理方法</t>
  </si>
  <si>
    <r>
      <rPr>
        <sz val="9"/>
        <color theme="1"/>
        <rFont val="宋体"/>
        <charset val="134"/>
      </rPr>
      <t>主要负责项目：云祺数据保护系统</t>
    </r>
    <r>
      <rPr>
        <sz val="9"/>
        <color theme="1"/>
        <rFont val="Arial"/>
        <charset val="134"/>
      </rPr>
      <t xml:space="preserve">
</t>
    </r>
    <r>
      <rPr>
        <sz val="9"/>
        <color theme="1"/>
        <rFont val="宋体"/>
        <charset val="134"/>
      </rPr>
      <t>主要负责内容：根据测试方案进行测试用例设计，用例评审及更新。
             执行测试用例。
             提交bug并跟踪bug对已修复bug进行回归测试。</t>
    </r>
  </si>
  <si>
    <t>开始时间</t>
  </si>
  <si>
    <t>结束时间</t>
  </si>
  <si>
    <t>软通动力信息技术有限公司</t>
  </si>
  <si>
    <t>IT</t>
  </si>
  <si>
    <t>工作描述：</t>
  </si>
  <si>
    <r>
      <rPr>
        <sz val="9"/>
        <color theme="1"/>
        <rFont val="宋体"/>
        <charset val="134"/>
      </rPr>
      <t>主要负责项目：华为存储系统</t>
    </r>
    <r>
      <rPr>
        <sz val="9"/>
        <color theme="1"/>
        <rFont val="Arial"/>
        <charset val="134"/>
      </rPr>
      <t xml:space="preserve">
</t>
    </r>
    <r>
      <rPr>
        <sz val="9"/>
        <color theme="1"/>
        <rFont val="宋体"/>
        <charset val="134"/>
      </rPr>
      <t>主要负责内容：特性自动化接口，将特性用例实现自动化，失败自动化用例分析。
             流水线自动化构建看护，承担子系统CI工作。
             特性测试，新需求测试方案、用例设计，测试执行，特性质量看护。</t>
    </r>
  </si>
  <si>
    <t>项目经验：</t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</si>
  <si>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项目名称</t>
    </r>
  </si>
  <si>
    <t>项目规模（人天）</t>
  </si>
  <si>
    <t>技术平台</t>
  </si>
  <si>
    <t>项目角色</t>
  </si>
  <si>
    <t>云祺数据保护系统</t>
  </si>
  <si>
    <t>apache+php+mysql</t>
  </si>
  <si>
    <t>项目概况：</t>
  </si>
  <si>
    <t>主要负责内容：根据测试方案进行测试用例设计，用例评审及更新。
             执行测试用例。
             提交bug并跟踪bug对已修复bug进行回归测试。</t>
  </si>
  <si>
    <t>技术架构：</t>
  </si>
  <si>
    <r>
      <rPr>
        <sz val="10"/>
        <color rgb="FFFF0000"/>
        <rFont val="宋体"/>
        <charset val="134"/>
        <scheme val="minor"/>
      </rPr>
      <t>*</t>
    </r>
    <r>
      <rPr>
        <sz val="10"/>
        <color theme="1"/>
        <rFont val="宋体"/>
        <charset val="134"/>
        <scheme val="minor"/>
      </rPr>
      <t>使用工具：</t>
    </r>
  </si>
  <si>
    <t>Linux+apache+php+mysql</t>
  </si>
  <si>
    <t>Xhell,postman</t>
  </si>
  <si>
    <r>
      <rPr>
        <sz val="10"/>
        <color rgb="FFFF0000"/>
        <rFont val="宋体"/>
        <charset val="134"/>
      </rPr>
      <t>*</t>
    </r>
    <r>
      <rPr>
        <sz val="10"/>
        <color theme="1"/>
        <rFont val="宋体"/>
        <charset val="134"/>
      </rPr>
      <t>负责模块：</t>
    </r>
  </si>
  <si>
    <t>工作业绩：</t>
  </si>
  <si>
    <t>授权管理,用户管理,虚拟化中心功能测试</t>
  </si>
  <si>
    <t>编写测试用例，并执行测试用例脚本，根据测试用例使用python+selenium编写UI自动化测试脚本，与团队成员配合共同完成系统测试。</t>
  </si>
  <si>
    <t>融合存储系统</t>
  </si>
  <si>
    <t>Linux+C+apache+sqlite</t>
  </si>
  <si>
    <r>
      <rPr>
        <sz val="9"/>
        <color theme="1"/>
        <rFont val="宋体"/>
        <charset val="134"/>
      </rPr>
      <t>主要负责项目：华为存储系统</t>
    </r>
    <r>
      <rPr>
        <sz val="9"/>
        <color theme="1"/>
        <rFont val="Arial"/>
        <charset val="134"/>
      </rPr>
      <t xml:space="preserve">
</t>
    </r>
    <r>
      <rPr>
        <sz val="9"/>
        <color theme="1"/>
        <rFont val="宋体"/>
        <charset val="134"/>
      </rPr>
      <t>主要负责内容：产品可服务性组ATE，CI自动化分析维护，自动化实现</t>
    </r>
  </si>
  <si>
    <t>使用工具：</t>
  </si>
  <si>
    <t>Linux+C+C#+apache+sqlite</t>
  </si>
  <si>
    <t>Python,selenium,paramiko,Xhell,postman,hmail,splunk</t>
  </si>
  <si>
    <t>特性自动化接口，将特性用例实现自动化，失败自动化用例分析。
流水线自动化构建看护，承担子系统CI工作。</t>
  </si>
  <si>
    <t>分布式存储系统</t>
  </si>
  <si>
    <t>Linux+C+gussDB</t>
  </si>
  <si>
    <r>
      <rPr>
        <sz val="9"/>
        <color theme="1"/>
        <rFont val="宋体"/>
        <charset val="134"/>
      </rPr>
      <t>主要负责项目：华为存储系统</t>
    </r>
    <r>
      <rPr>
        <sz val="9"/>
        <color theme="1"/>
        <rFont val="Arial"/>
        <charset val="134"/>
      </rPr>
      <t xml:space="preserve">
</t>
    </r>
    <r>
      <rPr>
        <sz val="9"/>
        <color theme="1"/>
        <rFont val="宋体"/>
        <charset val="134"/>
      </rPr>
      <t>主要负责内容：产品可服务性特性测试，测试设计、测试执行、自动化测试</t>
    </r>
  </si>
  <si>
    <t>Linux+C+C#+gussDB+ngnix</t>
  </si>
  <si>
    <t>ALM，SCM</t>
  </si>
  <si>
    <t>特性质量看护,新需求测试方案设计、编写测试用例，测试执行，流水线自动化任务看护，用例自动化实现。</t>
  </si>
  <si>
    <r>
      <rPr>
        <b/>
        <sz val="11.5"/>
        <color rgb="FFFF0000"/>
        <rFont val="宋体"/>
        <charset val="134"/>
      </rPr>
      <t>*</t>
    </r>
    <r>
      <rPr>
        <b/>
        <sz val="11.5"/>
        <color rgb="FF2670B7"/>
        <rFont val="宋体"/>
        <charset val="134"/>
      </rPr>
      <t>自我介绍：</t>
    </r>
  </si>
  <si>
    <t>何强，男。2015年毕业于郑州大学。3年测试经验，熟悉软件测试理论、测试流程；测试策略，测试用例设计与测试执行。擅长python自动化，自动化前端测试，接口测试。</t>
  </si>
  <si>
    <t>技能特点：</t>
  </si>
  <si>
    <t>熟悉软件测试理论、测试流程；测试策略设计，测试用例设计与测试执行。
熟悉编程语言Python，熟悉主流自动化测试框架。
熟悉界面、接口自动化，selenium，service端rest，cli接口测试，web框架Django。
熟悉Linux系统，常用的Linux命令等。了解sql数据库，掌握增删改查等语句
了解持续继成，自动化持续构建。相关测试工具</t>
  </si>
  <si>
    <t>语言能力：</t>
  </si>
  <si>
    <t>python</t>
  </si>
  <si>
    <t>其他补充：</t>
  </si>
  <si>
    <t>年份</t>
  </si>
  <si>
    <t>月份</t>
  </si>
  <si>
    <t>民族</t>
  </si>
  <si>
    <t>证件类型</t>
  </si>
  <si>
    <t>学位</t>
  </si>
  <si>
    <t>省ID</t>
  </si>
  <si>
    <t>省</t>
  </si>
  <si>
    <t>市ID</t>
  </si>
  <si>
    <t>市</t>
  </si>
  <si>
    <t>邮编</t>
  </si>
  <si>
    <t>地区ID</t>
  </si>
  <si>
    <t>地区</t>
  </si>
  <si>
    <t>学历</t>
  </si>
  <si>
    <t>高中</t>
  </si>
  <si>
    <t>入学_就读类型</t>
  </si>
  <si>
    <t>博士研究生</t>
  </si>
  <si>
    <t>硕士研究生</t>
  </si>
  <si>
    <t>本科_代培生</t>
  </si>
  <si>
    <t>本科_成人高考</t>
  </si>
  <si>
    <t>本科_专升本</t>
  </si>
  <si>
    <t>大专_统招生</t>
  </si>
  <si>
    <t>大专_代培生</t>
  </si>
  <si>
    <t>大专_成人高考</t>
  </si>
  <si>
    <t>是否全日制</t>
  </si>
  <si>
    <t>北京市</t>
  </si>
  <si>
    <t>100000</t>
  </si>
  <si>
    <t>东城区</t>
  </si>
  <si>
    <t>重点高中</t>
  </si>
  <si>
    <t>脱产</t>
  </si>
  <si>
    <t>蒙古族</t>
  </si>
  <si>
    <t>护照</t>
  </si>
  <si>
    <t>硕士</t>
  </si>
  <si>
    <t>天津市</t>
  </si>
  <si>
    <t>西城区</t>
  </si>
  <si>
    <t>普通高中</t>
  </si>
  <si>
    <t>二本</t>
  </si>
  <si>
    <t>在职就读</t>
  </si>
  <si>
    <t>否</t>
  </si>
  <si>
    <t>回族</t>
  </si>
  <si>
    <t>博士</t>
  </si>
  <si>
    <t>河北省</t>
  </si>
  <si>
    <t>石家庄市</t>
  </si>
  <si>
    <t>050000</t>
  </si>
  <si>
    <t>崇文区</t>
  </si>
  <si>
    <t>三本</t>
  </si>
  <si>
    <t xml:space="preserve">函授  </t>
  </si>
  <si>
    <t>藏族</t>
  </si>
  <si>
    <t>未取得</t>
  </si>
  <si>
    <t>山西省</t>
  </si>
  <si>
    <t>唐山市</t>
  </si>
  <si>
    <t>063000</t>
  </si>
  <si>
    <t>宣武区</t>
  </si>
  <si>
    <t>全日制</t>
  </si>
  <si>
    <t>维吾尔族</t>
  </si>
  <si>
    <t>内蒙古自治区</t>
  </si>
  <si>
    <t>秦皇岛市</t>
  </si>
  <si>
    <t>066000</t>
  </si>
  <si>
    <t>朝阳区</t>
  </si>
  <si>
    <t>苗族</t>
  </si>
  <si>
    <t>辽宁省</t>
  </si>
  <si>
    <t>邯郸市</t>
  </si>
  <si>
    <t>056000</t>
  </si>
  <si>
    <t>丰台区</t>
  </si>
  <si>
    <t>彝族</t>
  </si>
  <si>
    <t>吉林省</t>
  </si>
  <si>
    <t>邢台市</t>
  </si>
  <si>
    <t>054000</t>
  </si>
  <si>
    <t>石景山区</t>
  </si>
  <si>
    <t>壮族</t>
  </si>
  <si>
    <t>黑龙江省</t>
  </si>
  <si>
    <t>保定市</t>
  </si>
  <si>
    <t>071000</t>
  </si>
  <si>
    <t>海淀区</t>
  </si>
  <si>
    <t>布依族</t>
  </si>
  <si>
    <t>上海市</t>
  </si>
  <si>
    <t>张家口市</t>
  </si>
  <si>
    <t>075000</t>
  </si>
  <si>
    <t>门头沟区</t>
  </si>
  <si>
    <t>朝鲜族</t>
  </si>
  <si>
    <t>江苏省</t>
  </si>
  <si>
    <t>承德市</t>
  </si>
  <si>
    <t>067000</t>
  </si>
  <si>
    <t>房山区</t>
  </si>
  <si>
    <t>满族</t>
  </si>
  <si>
    <t>浙江省</t>
  </si>
  <si>
    <t>沧州市</t>
  </si>
  <si>
    <t>061000</t>
  </si>
  <si>
    <t>通州区</t>
  </si>
  <si>
    <t>侗族</t>
  </si>
  <si>
    <t>安徽省</t>
  </si>
  <si>
    <t>廊坊市</t>
  </si>
  <si>
    <t>065000</t>
  </si>
  <si>
    <t>顺义区</t>
  </si>
  <si>
    <t>其他</t>
  </si>
  <si>
    <t>瑶族</t>
  </si>
  <si>
    <t>福建省</t>
  </si>
  <si>
    <t>衡水市</t>
  </si>
  <si>
    <t>053000</t>
  </si>
  <si>
    <t>昌平区</t>
  </si>
  <si>
    <t>白族</t>
  </si>
  <si>
    <t>江西省</t>
  </si>
  <si>
    <t>太原市</t>
  </si>
  <si>
    <t>030000</t>
  </si>
  <si>
    <t>大兴区</t>
  </si>
  <si>
    <t>土家族</t>
  </si>
  <si>
    <t>山东省</t>
  </si>
  <si>
    <t>大同市</t>
  </si>
  <si>
    <t>037000</t>
  </si>
  <si>
    <t>怀柔区</t>
  </si>
  <si>
    <t>哈尼族</t>
  </si>
  <si>
    <t>河南省</t>
  </si>
  <si>
    <t>阳泉市</t>
  </si>
  <si>
    <t>045000</t>
  </si>
  <si>
    <t>平谷区</t>
  </si>
  <si>
    <t>哈萨克族</t>
  </si>
  <si>
    <t>湖北省</t>
  </si>
  <si>
    <t>长治市</t>
  </si>
  <si>
    <t>046000</t>
  </si>
  <si>
    <t>密云县</t>
  </si>
  <si>
    <t>傣族</t>
  </si>
  <si>
    <t>湖南省</t>
  </si>
  <si>
    <t>晋城市</t>
  </si>
  <si>
    <t>048000</t>
  </si>
  <si>
    <t>延庆县</t>
  </si>
  <si>
    <t>黎族</t>
  </si>
  <si>
    <t>广东省</t>
  </si>
  <si>
    <t>朔州市</t>
  </si>
  <si>
    <t>036000</t>
  </si>
  <si>
    <t>和平区</t>
  </si>
  <si>
    <t>僳僳族</t>
  </si>
  <si>
    <t>广西壮族自治区</t>
  </si>
  <si>
    <t>晋中市</t>
  </si>
  <si>
    <t>030600</t>
  </si>
  <si>
    <t>河东区</t>
  </si>
  <si>
    <t>佤族</t>
  </si>
  <si>
    <t>海南省</t>
  </si>
  <si>
    <t>运城市</t>
  </si>
  <si>
    <t>044000</t>
  </si>
  <si>
    <t>河西区</t>
  </si>
  <si>
    <t>畲族</t>
  </si>
  <si>
    <t>重庆市</t>
  </si>
  <si>
    <t>忻州市</t>
  </si>
  <si>
    <t>034000</t>
  </si>
  <si>
    <t>南开区</t>
  </si>
  <si>
    <t>高山族</t>
  </si>
  <si>
    <t>临汾市</t>
  </si>
  <si>
    <t>041000</t>
  </si>
  <si>
    <t>河北区</t>
  </si>
  <si>
    <t>拉祜族</t>
  </si>
  <si>
    <t>贵州省</t>
  </si>
  <si>
    <t>吕梁市</t>
  </si>
  <si>
    <t>030500</t>
  </si>
  <si>
    <t>红桥区</t>
  </si>
  <si>
    <t>水族</t>
  </si>
  <si>
    <t>云南省</t>
  </si>
  <si>
    <t>呼和浩特市</t>
  </si>
  <si>
    <t>010000</t>
  </si>
  <si>
    <t>塘沽区</t>
  </si>
  <si>
    <t>东乡族</t>
  </si>
  <si>
    <t>西藏自治区</t>
  </si>
  <si>
    <t>包头市</t>
  </si>
  <si>
    <t>014000</t>
  </si>
  <si>
    <t>汉沽区</t>
  </si>
  <si>
    <t>纳西族</t>
  </si>
  <si>
    <t>陕西省</t>
  </si>
  <si>
    <t>乌海市</t>
  </si>
  <si>
    <t>016000</t>
  </si>
  <si>
    <t>大港区</t>
  </si>
  <si>
    <t>景颇族</t>
  </si>
  <si>
    <t>甘肃省</t>
  </si>
  <si>
    <t>赤峰市</t>
  </si>
  <si>
    <t>024000</t>
  </si>
  <si>
    <t>东丽区</t>
  </si>
  <si>
    <t>柯尔克孜族</t>
  </si>
  <si>
    <t>青海省</t>
  </si>
  <si>
    <t>通辽市</t>
  </si>
  <si>
    <t>028000</t>
  </si>
  <si>
    <t>西青区</t>
  </si>
  <si>
    <t>土族</t>
  </si>
  <si>
    <t>宁夏回族自治区</t>
  </si>
  <si>
    <t>鄂尔多斯市</t>
  </si>
  <si>
    <t>010300</t>
  </si>
  <si>
    <t>津南区</t>
  </si>
  <si>
    <t>达斡尔族</t>
  </si>
  <si>
    <t>新疆维吾尔自治区</t>
  </si>
  <si>
    <t>呼伦贝尔市</t>
  </si>
  <si>
    <t>021000</t>
  </si>
  <si>
    <t>北辰区</t>
  </si>
  <si>
    <t>仫佬族</t>
  </si>
  <si>
    <t>香港特别行政区</t>
  </si>
  <si>
    <t>巴彦淖尔市</t>
  </si>
  <si>
    <t>014400</t>
  </si>
  <si>
    <t>武清区</t>
  </si>
  <si>
    <t>羌族</t>
  </si>
  <si>
    <t>澳门特别行政区</t>
  </si>
  <si>
    <t>乌兰察布市</t>
  </si>
  <si>
    <t>011800</t>
  </si>
  <si>
    <t>宝坻区</t>
  </si>
  <si>
    <t>布朗族</t>
  </si>
  <si>
    <t>台湾省</t>
  </si>
  <si>
    <t>兴安盟</t>
  </si>
  <si>
    <t>137500</t>
  </si>
  <si>
    <t>宁河县</t>
  </si>
  <si>
    <t>撒拉族</t>
  </si>
  <si>
    <t>锡林郭勒盟</t>
  </si>
  <si>
    <t>011100</t>
  </si>
  <si>
    <t>静海县</t>
  </si>
  <si>
    <t>毛南族</t>
  </si>
  <si>
    <t>阿拉善盟</t>
  </si>
  <si>
    <t>蓟县</t>
  </si>
  <si>
    <t>仡佬族</t>
  </si>
  <si>
    <t>沈阳市</t>
  </si>
  <si>
    <t>110000</t>
  </si>
  <si>
    <t>长安区</t>
  </si>
  <si>
    <t>锡伯族</t>
  </si>
  <si>
    <t>大连市</t>
  </si>
  <si>
    <t>116000</t>
  </si>
  <si>
    <t>桥东区</t>
  </si>
  <si>
    <t>阿昌族</t>
  </si>
  <si>
    <t>鞍山市</t>
  </si>
  <si>
    <t>114000</t>
  </si>
  <si>
    <t>桥西区</t>
  </si>
  <si>
    <t>普米族</t>
  </si>
  <si>
    <t>抚顺市</t>
  </si>
  <si>
    <t>113000</t>
  </si>
  <si>
    <t>新华区</t>
  </si>
  <si>
    <t>塔吉克族</t>
  </si>
  <si>
    <t>本溪市</t>
  </si>
  <si>
    <t>117000</t>
  </si>
  <si>
    <t>井陉矿区</t>
  </si>
  <si>
    <t>怒族</t>
  </si>
  <si>
    <t>丹东市</t>
  </si>
  <si>
    <t>118000</t>
  </si>
  <si>
    <t>裕华区</t>
  </si>
  <si>
    <t>乌孜别克族</t>
  </si>
  <si>
    <t>锦州市</t>
  </si>
  <si>
    <t>121000</t>
  </si>
  <si>
    <t>井陉县</t>
  </si>
  <si>
    <t>俄罗斯族</t>
  </si>
  <si>
    <t>营口市</t>
  </si>
  <si>
    <t>115000</t>
  </si>
  <si>
    <t>正定县</t>
  </si>
  <si>
    <t>鄂温克族</t>
  </si>
  <si>
    <t>阜新市</t>
  </si>
  <si>
    <t>123000</t>
  </si>
  <si>
    <t>栾城县</t>
  </si>
  <si>
    <t>德昂族</t>
  </si>
  <si>
    <t>辽阳市</t>
  </si>
  <si>
    <t>111000</t>
  </si>
  <si>
    <t>行唐县</t>
  </si>
  <si>
    <t>保安族</t>
  </si>
  <si>
    <t>盘锦市</t>
  </si>
  <si>
    <t>124000</t>
  </si>
  <si>
    <t>灵寿县</t>
  </si>
  <si>
    <t>裕固族</t>
  </si>
  <si>
    <t>铁岭市</t>
  </si>
  <si>
    <t>112000</t>
  </si>
  <si>
    <t>高邑县</t>
  </si>
  <si>
    <t>京族</t>
  </si>
  <si>
    <t>朝阳市</t>
  </si>
  <si>
    <t>122000</t>
  </si>
  <si>
    <t>深泽县</t>
  </si>
  <si>
    <t>塔塔尔族</t>
  </si>
  <si>
    <t>葫芦岛市</t>
  </si>
  <si>
    <t>125000</t>
  </si>
  <si>
    <t>赞皇县</t>
  </si>
  <si>
    <t>独龙族</t>
  </si>
  <si>
    <t>长春市</t>
  </si>
  <si>
    <t>130000</t>
  </si>
  <si>
    <t>无极县</t>
  </si>
  <si>
    <t>鄂伦春族</t>
  </si>
  <si>
    <t>吉林市</t>
  </si>
  <si>
    <t>132000</t>
  </si>
  <si>
    <t>平山县</t>
  </si>
  <si>
    <t>赫哲族</t>
  </si>
  <si>
    <t>四平市</t>
  </si>
  <si>
    <t>136000</t>
  </si>
  <si>
    <t>元氏县</t>
  </si>
  <si>
    <t>门巴族</t>
  </si>
  <si>
    <t>辽源市</t>
  </si>
  <si>
    <t>136200</t>
  </si>
  <si>
    <t>赵县</t>
  </si>
  <si>
    <t>珞巴族</t>
  </si>
  <si>
    <t>通化市</t>
  </si>
  <si>
    <t>134000</t>
  </si>
  <si>
    <t>辛集市</t>
  </si>
  <si>
    <t>基诺族</t>
  </si>
  <si>
    <t>白山市</t>
  </si>
  <si>
    <t>134300</t>
  </si>
  <si>
    <t>藁城市</t>
  </si>
  <si>
    <t>松原市</t>
  </si>
  <si>
    <t>131100</t>
  </si>
  <si>
    <t>晋州市</t>
  </si>
  <si>
    <t>白城市</t>
  </si>
  <si>
    <t>137000</t>
  </si>
  <si>
    <t>新乐市</t>
  </si>
  <si>
    <t>延边朝鲜族自治州</t>
  </si>
  <si>
    <t>133000</t>
  </si>
  <si>
    <t>鹿泉市</t>
  </si>
  <si>
    <t>哈尔滨市</t>
  </si>
  <si>
    <t>150000</t>
  </si>
  <si>
    <t>路南区</t>
  </si>
  <si>
    <t>齐齐哈尔市</t>
  </si>
  <si>
    <t>161000</t>
  </si>
  <si>
    <t>路北区</t>
  </si>
  <si>
    <t>鸡西市</t>
  </si>
  <si>
    <t>158100</t>
  </si>
  <si>
    <t>古冶区</t>
  </si>
  <si>
    <t>鹤岗市</t>
  </si>
  <si>
    <t>154100</t>
  </si>
  <si>
    <t>开平区</t>
  </si>
  <si>
    <t>双鸭山市</t>
  </si>
  <si>
    <t>155100</t>
  </si>
  <si>
    <t>丰南区</t>
  </si>
  <si>
    <t>大庆市</t>
  </si>
  <si>
    <t>163000</t>
  </si>
  <si>
    <t>丰润区</t>
  </si>
  <si>
    <t>伊春市</t>
  </si>
  <si>
    <t>152300</t>
  </si>
  <si>
    <t>滦县</t>
  </si>
  <si>
    <t>佳木斯市</t>
  </si>
  <si>
    <t>154000</t>
  </si>
  <si>
    <t>滦南县</t>
  </si>
  <si>
    <t>七台河市</t>
  </si>
  <si>
    <t>154600</t>
  </si>
  <si>
    <t>乐亭县</t>
  </si>
  <si>
    <t>牡丹江市</t>
  </si>
  <si>
    <t>157000</t>
  </si>
  <si>
    <t>迁西县</t>
  </si>
  <si>
    <t>黑河市</t>
  </si>
  <si>
    <t>164300</t>
  </si>
  <si>
    <t>玉田县</t>
  </si>
  <si>
    <t>绥化市</t>
  </si>
  <si>
    <t>152000</t>
  </si>
  <si>
    <t>唐海县</t>
  </si>
  <si>
    <t>大兴安岭地区</t>
  </si>
  <si>
    <t>165000</t>
  </si>
  <si>
    <t>遵化市</t>
  </si>
  <si>
    <t>200000</t>
  </si>
  <si>
    <t>迁安市</t>
  </si>
  <si>
    <t>南京市</t>
  </si>
  <si>
    <t>210000</t>
  </si>
  <si>
    <t>海港区</t>
  </si>
  <si>
    <t>无锡市</t>
  </si>
  <si>
    <t>214000</t>
  </si>
  <si>
    <t>山海关区</t>
  </si>
  <si>
    <t>徐州市</t>
  </si>
  <si>
    <t>221000</t>
  </si>
  <si>
    <t>北戴河区</t>
  </si>
  <si>
    <t>常州市</t>
  </si>
  <si>
    <t>213000</t>
  </si>
  <si>
    <t>青龙满族自治县</t>
  </si>
  <si>
    <t>苏州市</t>
  </si>
  <si>
    <t>215000</t>
  </si>
  <si>
    <t>昌黎县</t>
  </si>
  <si>
    <t>南通市</t>
  </si>
  <si>
    <t>226000</t>
  </si>
  <si>
    <t>抚宁县</t>
  </si>
  <si>
    <t>连云港市</t>
  </si>
  <si>
    <t>222000</t>
  </si>
  <si>
    <t>卢龙县</t>
  </si>
  <si>
    <t>淮安市</t>
  </si>
  <si>
    <t>223200</t>
  </si>
  <si>
    <t>邯山区</t>
  </si>
  <si>
    <t>盐城市</t>
  </si>
  <si>
    <t>224000</t>
  </si>
  <si>
    <t>丛台区</t>
  </si>
  <si>
    <t>扬州市</t>
  </si>
  <si>
    <t>225000</t>
  </si>
  <si>
    <t>复兴区</t>
  </si>
  <si>
    <t>镇江市</t>
  </si>
  <si>
    <t>212000</t>
  </si>
  <si>
    <t>峰峰矿区</t>
  </si>
  <si>
    <t>泰州市</t>
  </si>
  <si>
    <t>225300</t>
  </si>
  <si>
    <t>邯郸县</t>
  </si>
  <si>
    <t>宿迁市</t>
  </si>
  <si>
    <t>223800</t>
  </si>
  <si>
    <t>临漳县</t>
  </si>
  <si>
    <t>杭州市</t>
  </si>
  <si>
    <t>310000</t>
  </si>
  <si>
    <t>成安县</t>
  </si>
  <si>
    <t>宁波市</t>
  </si>
  <si>
    <t>315000</t>
  </si>
  <si>
    <t>大名县</t>
  </si>
  <si>
    <t>温州市</t>
  </si>
  <si>
    <t>325000</t>
  </si>
  <si>
    <t>涉县</t>
  </si>
  <si>
    <t>嘉兴市</t>
  </si>
  <si>
    <t>314000</t>
  </si>
  <si>
    <t>磁县</t>
  </si>
  <si>
    <t>湖州市</t>
  </si>
  <si>
    <t>313000</t>
  </si>
  <si>
    <t>肥乡县</t>
  </si>
  <si>
    <t>绍兴市</t>
  </si>
  <si>
    <t>312000</t>
  </si>
  <si>
    <t>永年县</t>
  </si>
  <si>
    <t>金华市</t>
  </si>
  <si>
    <t>321000</t>
  </si>
  <si>
    <t>邱县</t>
  </si>
  <si>
    <t>衢州市</t>
  </si>
  <si>
    <t>324000</t>
  </si>
  <si>
    <t>鸡泽县</t>
  </si>
  <si>
    <t>舟山市</t>
  </si>
  <si>
    <t>316000</t>
  </si>
  <si>
    <t>广平县</t>
  </si>
  <si>
    <t>台州市</t>
  </si>
  <si>
    <t>318000</t>
  </si>
  <si>
    <t>馆陶县</t>
  </si>
  <si>
    <t>丽水市</t>
  </si>
  <si>
    <t>323000</t>
  </si>
  <si>
    <t>魏县</t>
  </si>
  <si>
    <t>合肥市</t>
  </si>
  <si>
    <t>230000</t>
  </si>
  <si>
    <t>曲周县</t>
  </si>
  <si>
    <t>芜湖市</t>
  </si>
  <si>
    <t>241000</t>
  </si>
  <si>
    <t>武安市</t>
  </si>
  <si>
    <t>蚌埠市</t>
  </si>
  <si>
    <t>233000</t>
  </si>
  <si>
    <t>淮南市</t>
  </si>
  <si>
    <t>232000</t>
  </si>
  <si>
    <t>马鞍山市</t>
  </si>
  <si>
    <t>243000</t>
  </si>
  <si>
    <t>邢台县</t>
  </si>
  <si>
    <t>淮北市</t>
  </si>
  <si>
    <t>235000</t>
  </si>
  <si>
    <t>临城县</t>
  </si>
  <si>
    <t>铜陵市</t>
  </si>
  <si>
    <t>244000</t>
  </si>
  <si>
    <t>内丘县</t>
  </si>
  <si>
    <t>安庆市</t>
  </si>
  <si>
    <t>246000</t>
  </si>
  <si>
    <t>柏乡县</t>
  </si>
  <si>
    <t>黄山市</t>
  </si>
  <si>
    <t>242700</t>
  </si>
  <si>
    <t>隆尧县</t>
  </si>
  <si>
    <t>滁州市</t>
  </si>
  <si>
    <t>239000</t>
  </si>
  <si>
    <t>任县</t>
  </si>
  <si>
    <t>阜阳市</t>
  </si>
  <si>
    <t>236100</t>
  </si>
  <si>
    <t>南和县</t>
  </si>
  <si>
    <t>宿州市</t>
  </si>
  <si>
    <t>234100</t>
  </si>
  <si>
    <t>宁晋县</t>
  </si>
  <si>
    <t>巢湖市</t>
  </si>
  <si>
    <t>238000</t>
  </si>
  <si>
    <t>巨鹿县</t>
  </si>
  <si>
    <t>六安市</t>
  </si>
  <si>
    <t>237000</t>
  </si>
  <si>
    <t>新河县</t>
  </si>
  <si>
    <t>亳州市</t>
  </si>
  <si>
    <t>236800</t>
  </si>
  <si>
    <t>广宗县</t>
  </si>
  <si>
    <t>池州市</t>
  </si>
  <si>
    <t>247100</t>
  </si>
  <si>
    <t>平乡县</t>
  </si>
  <si>
    <t>宣城市</t>
  </si>
  <si>
    <t>366000</t>
  </si>
  <si>
    <t>威县</t>
  </si>
  <si>
    <t>福州市</t>
  </si>
  <si>
    <t>350000</t>
  </si>
  <si>
    <t>清河县</t>
  </si>
  <si>
    <t>厦门市</t>
  </si>
  <si>
    <t>361000</t>
  </si>
  <si>
    <t>临西县</t>
  </si>
  <si>
    <t>莆田市</t>
  </si>
  <si>
    <t>351100</t>
  </si>
  <si>
    <t>南宫市</t>
  </si>
  <si>
    <t>三明市</t>
  </si>
  <si>
    <t>365000</t>
  </si>
  <si>
    <t>沙河市</t>
  </si>
  <si>
    <t>泉州市</t>
  </si>
  <si>
    <t>362000</t>
  </si>
  <si>
    <t>新市区</t>
  </si>
  <si>
    <t>漳州市</t>
  </si>
  <si>
    <t>363000</t>
  </si>
  <si>
    <t>北市区</t>
  </si>
  <si>
    <t>南平市</t>
  </si>
  <si>
    <t>353000</t>
  </si>
  <si>
    <t>南市区</t>
  </si>
  <si>
    <t>龙岩市</t>
  </si>
  <si>
    <t>364000</t>
  </si>
  <si>
    <t>满城县</t>
  </si>
  <si>
    <t>宁德市</t>
  </si>
  <si>
    <t>352100</t>
  </si>
  <si>
    <t>清苑县</t>
  </si>
  <si>
    <t>南昌市</t>
  </si>
  <si>
    <t>330000</t>
  </si>
  <si>
    <t>涞水县</t>
  </si>
  <si>
    <t>景德镇市</t>
  </si>
  <si>
    <t>333000</t>
  </si>
  <si>
    <t>阜平县</t>
  </si>
  <si>
    <t>萍乡市</t>
  </si>
  <si>
    <t>337000</t>
  </si>
  <si>
    <t>徐水县</t>
  </si>
  <si>
    <t>九江市</t>
  </si>
  <si>
    <t>332000</t>
  </si>
  <si>
    <t>定兴县</t>
  </si>
  <si>
    <t>新余市</t>
  </si>
  <si>
    <t>338000</t>
  </si>
  <si>
    <t>唐县</t>
  </si>
  <si>
    <t>鹰潭市</t>
  </si>
  <si>
    <t>335000</t>
  </si>
  <si>
    <t>高阳县</t>
  </si>
  <si>
    <t>赣州市</t>
  </si>
  <si>
    <t>341000</t>
  </si>
  <si>
    <t>容城县</t>
  </si>
  <si>
    <t>吉安市</t>
  </si>
  <si>
    <t>343000</t>
  </si>
  <si>
    <t>涞源县</t>
  </si>
  <si>
    <t>宜春市</t>
  </si>
  <si>
    <t>336000</t>
  </si>
  <si>
    <t>望都县</t>
  </si>
  <si>
    <t>抚州市</t>
  </si>
  <si>
    <t>332900</t>
  </si>
  <si>
    <t>安新县</t>
  </si>
  <si>
    <t>上饶市</t>
  </si>
  <si>
    <t>334000</t>
  </si>
  <si>
    <t>易县</t>
  </si>
  <si>
    <t>济南市</t>
  </si>
  <si>
    <t>250000</t>
  </si>
  <si>
    <t>曲阳县</t>
  </si>
  <si>
    <t>青岛市</t>
  </si>
  <si>
    <t>266000</t>
  </si>
  <si>
    <t>蠡县</t>
  </si>
  <si>
    <t>淄博市</t>
  </si>
  <si>
    <t>255000</t>
  </si>
  <si>
    <t>顺平县</t>
  </si>
  <si>
    <t>枣庄市</t>
  </si>
  <si>
    <t>277100</t>
  </si>
  <si>
    <t>博野县</t>
  </si>
  <si>
    <t>东营市</t>
  </si>
  <si>
    <t>257000</t>
  </si>
  <si>
    <t>雄县</t>
  </si>
  <si>
    <t>烟台市</t>
  </si>
  <si>
    <t>264000</t>
  </si>
  <si>
    <t>涿州市</t>
  </si>
  <si>
    <t>潍坊市</t>
  </si>
  <si>
    <t>261000</t>
  </si>
  <si>
    <t>定州市</t>
  </si>
  <si>
    <t>济宁市</t>
  </si>
  <si>
    <t>272100</t>
  </si>
  <si>
    <t>安国市</t>
  </si>
  <si>
    <t>泰安市</t>
  </si>
  <si>
    <t>271000</t>
  </si>
  <si>
    <t>高碑店市</t>
  </si>
  <si>
    <t>威海市</t>
  </si>
  <si>
    <t>265700</t>
  </si>
  <si>
    <t>日照市</t>
  </si>
  <si>
    <t>276800</t>
  </si>
  <si>
    <t>莱芜市</t>
  </si>
  <si>
    <t>271100</t>
  </si>
  <si>
    <t>宣化区</t>
  </si>
  <si>
    <t>临沂市</t>
  </si>
  <si>
    <t>276000</t>
  </si>
  <si>
    <t>下花园区</t>
  </si>
  <si>
    <t>德州市</t>
  </si>
  <si>
    <t>253000</t>
  </si>
  <si>
    <t>宣化县</t>
  </si>
  <si>
    <t>聊城市</t>
  </si>
  <si>
    <t>252000</t>
  </si>
  <si>
    <t>张北县</t>
  </si>
  <si>
    <t>滨州市</t>
  </si>
  <si>
    <t>256600</t>
  </si>
  <si>
    <t>康保县</t>
  </si>
  <si>
    <t>荷泽市</t>
  </si>
  <si>
    <t>沽源县</t>
  </si>
  <si>
    <t>郑州市</t>
  </si>
  <si>
    <t>450000</t>
  </si>
  <si>
    <t>尚义县</t>
  </si>
  <si>
    <t>开封市</t>
  </si>
  <si>
    <t>475000</t>
  </si>
  <si>
    <t>蔚县</t>
  </si>
  <si>
    <t>洛阳市</t>
  </si>
  <si>
    <t>471000</t>
  </si>
  <si>
    <t>阳原县</t>
  </si>
  <si>
    <t>平顶山市</t>
  </si>
  <si>
    <t>467000</t>
  </si>
  <si>
    <t>怀安县</t>
  </si>
  <si>
    <t>安阳市</t>
  </si>
  <si>
    <t>454900</t>
  </si>
  <si>
    <t>万全县</t>
  </si>
  <si>
    <t>鹤壁市</t>
  </si>
  <si>
    <t>456600</t>
  </si>
  <si>
    <t>怀来县</t>
  </si>
  <si>
    <t>新乡市</t>
  </si>
  <si>
    <t>453000</t>
  </si>
  <si>
    <t>涿鹿县</t>
  </si>
  <si>
    <t>焦作市</t>
  </si>
  <si>
    <t>454100</t>
  </si>
  <si>
    <t>赤城县</t>
  </si>
  <si>
    <t>濮阳市</t>
  </si>
  <si>
    <t>457000</t>
  </si>
  <si>
    <t>崇礼县</t>
  </si>
  <si>
    <t>许昌市</t>
  </si>
  <si>
    <t>461000</t>
  </si>
  <si>
    <t>双桥区</t>
  </si>
  <si>
    <t>漯河市</t>
  </si>
  <si>
    <t>462000</t>
  </si>
  <si>
    <t>双滦区</t>
  </si>
  <si>
    <t>三门峡市</t>
  </si>
  <si>
    <t>472000</t>
  </si>
  <si>
    <t>鹰手营子矿区</t>
  </si>
  <si>
    <t>南阳市</t>
  </si>
  <si>
    <t>473000</t>
  </si>
  <si>
    <t>承德县</t>
  </si>
  <si>
    <t>商丘市</t>
  </si>
  <si>
    <t>476000</t>
  </si>
  <si>
    <t>兴隆县</t>
  </si>
  <si>
    <t>信阳市</t>
  </si>
  <si>
    <t>464000</t>
  </si>
  <si>
    <t>平泉县</t>
  </si>
  <si>
    <t>周口市</t>
  </si>
  <si>
    <t>466000</t>
  </si>
  <si>
    <t>滦平县</t>
  </si>
  <si>
    <t>驻马店市</t>
  </si>
  <si>
    <t>463000</t>
  </si>
  <si>
    <t>隆化县</t>
  </si>
  <si>
    <t>武汉市</t>
  </si>
  <si>
    <t>430000</t>
  </si>
  <si>
    <t>丰宁满族自治县</t>
  </si>
  <si>
    <t>黄石市</t>
  </si>
  <si>
    <t>435000</t>
  </si>
  <si>
    <t>宽城满族自治县</t>
  </si>
  <si>
    <t>十堰市</t>
  </si>
  <si>
    <t>442000</t>
  </si>
  <si>
    <t>围场满族蒙古族自治县</t>
  </si>
  <si>
    <t>宜昌市</t>
  </si>
  <si>
    <t>443000</t>
  </si>
  <si>
    <t>襄樊市</t>
  </si>
  <si>
    <t>441000</t>
  </si>
  <si>
    <t>运河区</t>
  </si>
  <si>
    <t>鄂州市</t>
  </si>
  <si>
    <t>436000</t>
  </si>
  <si>
    <t>沧县</t>
  </si>
  <si>
    <t>荆门市</t>
  </si>
  <si>
    <t>448000</t>
  </si>
  <si>
    <t>青县</t>
  </si>
  <si>
    <t>孝感市</t>
  </si>
  <si>
    <t>432100</t>
  </si>
  <si>
    <t>东光县</t>
  </si>
  <si>
    <t>荆州市</t>
  </si>
  <si>
    <t>434000</t>
  </si>
  <si>
    <t>海兴县</t>
  </si>
  <si>
    <t>黄冈市</t>
  </si>
  <si>
    <t>438000</t>
  </si>
  <si>
    <t>盐山县</t>
  </si>
  <si>
    <t>咸宁市</t>
  </si>
  <si>
    <t>437000</t>
  </si>
  <si>
    <t>肃宁县</t>
  </si>
  <si>
    <t>随州市</t>
  </si>
  <si>
    <t>441300</t>
  </si>
  <si>
    <t>南皮县</t>
  </si>
  <si>
    <t>恩施土家族苗族自治州</t>
  </si>
  <si>
    <t>445000</t>
  </si>
  <si>
    <t>吴桥县</t>
  </si>
  <si>
    <t>神农架</t>
  </si>
  <si>
    <t>442400</t>
  </si>
  <si>
    <t>献县</t>
  </si>
  <si>
    <t>长沙市</t>
  </si>
  <si>
    <t>410000</t>
  </si>
  <si>
    <t>孟村回族自治县</t>
  </si>
  <si>
    <t>株洲市</t>
  </si>
  <si>
    <t>412000</t>
  </si>
  <si>
    <t>泊头市</t>
  </si>
  <si>
    <t>湘潭市</t>
  </si>
  <si>
    <t>411100</t>
  </si>
  <si>
    <t>任丘市</t>
  </si>
  <si>
    <t>衡阳市</t>
  </si>
  <si>
    <t>421000</t>
  </si>
  <si>
    <t>黄骅市</t>
  </si>
  <si>
    <t>邵阳市</t>
  </si>
  <si>
    <t>422000</t>
  </si>
  <si>
    <t>河间市</t>
  </si>
  <si>
    <t>岳阳市</t>
  </si>
  <si>
    <t>414000</t>
  </si>
  <si>
    <t>安次区</t>
  </si>
  <si>
    <t>常德市</t>
  </si>
  <si>
    <t>415000</t>
  </si>
  <si>
    <t>广阳区</t>
  </si>
  <si>
    <t>张家界市</t>
  </si>
  <si>
    <t>427000</t>
  </si>
  <si>
    <t>固安县</t>
  </si>
  <si>
    <t>益阳市</t>
  </si>
  <si>
    <t>413000</t>
  </si>
  <si>
    <t>永清县</t>
  </si>
  <si>
    <t>郴州市</t>
  </si>
  <si>
    <t>423000</t>
  </si>
  <si>
    <t>香河县</t>
  </si>
  <si>
    <t>永州市</t>
  </si>
  <si>
    <t>425000</t>
  </si>
  <si>
    <t>大城县</t>
  </si>
  <si>
    <t>怀化市</t>
  </si>
  <si>
    <t>418000</t>
  </si>
  <si>
    <t>文安县</t>
  </si>
  <si>
    <t>娄底市</t>
  </si>
  <si>
    <t>417000</t>
  </si>
  <si>
    <t>大厂回族自治县</t>
  </si>
  <si>
    <t>湘西土家族苗族自治州</t>
  </si>
  <si>
    <t>416000</t>
  </si>
  <si>
    <t>霸州市</t>
  </si>
  <si>
    <t>广州市</t>
  </si>
  <si>
    <t>510000</t>
  </si>
  <si>
    <t>三河市</t>
  </si>
  <si>
    <t>韶关市</t>
  </si>
  <si>
    <t>521000</t>
  </si>
  <si>
    <t>桃城区</t>
  </si>
  <si>
    <t>深圳市</t>
  </si>
  <si>
    <t>518000</t>
  </si>
  <si>
    <t>枣强县</t>
  </si>
  <si>
    <t>珠海市</t>
  </si>
  <si>
    <t>519000</t>
  </si>
  <si>
    <t>武邑县</t>
  </si>
  <si>
    <t>汕头市</t>
  </si>
  <si>
    <t>515000</t>
  </si>
  <si>
    <t>武强县</t>
  </si>
  <si>
    <t>佛山市</t>
  </si>
  <si>
    <t>528000</t>
  </si>
  <si>
    <t>饶阳县</t>
  </si>
  <si>
    <t>江门市</t>
  </si>
  <si>
    <t>529000</t>
  </si>
  <si>
    <t>安平县</t>
  </si>
  <si>
    <t>湛江市</t>
  </si>
  <si>
    <t>524000</t>
  </si>
  <si>
    <t>故城县</t>
  </si>
  <si>
    <t>茂名市</t>
  </si>
  <si>
    <t>525000</t>
  </si>
  <si>
    <t>景县</t>
  </si>
  <si>
    <t>肇庆市</t>
  </si>
  <si>
    <t>526000</t>
  </si>
  <si>
    <t>阜城县</t>
  </si>
  <si>
    <t>惠州市</t>
  </si>
  <si>
    <t>516000</t>
  </si>
  <si>
    <t>冀州市</t>
  </si>
  <si>
    <t>梅州市</t>
  </si>
  <si>
    <t>514000</t>
  </si>
  <si>
    <t>深州市</t>
  </si>
  <si>
    <t>汕尾市</t>
  </si>
  <si>
    <t>516600</t>
  </si>
  <si>
    <t>小店区</t>
  </si>
  <si>
    <t>河源市</t>
  </si>
  <si>
    <t>517000</t>
  </si>
  <si>
    <t>迎泽区</t>
  </si>
  <si>
    <t>阳江市</t>
  </si>
  <si>
    <t>529500</t>
  </si>
  <si>
    <t>杏花岭区</t>
  </si>
  <si>
    <t>清远市</t>
  </si>
  <si>
    <t>511500</t>
  </si>
  <si>
    <t>尖草坪区</t>
  </si>
  <si>
    <t>东莞市</t>
  </si>
  <si>
    <t>511700</t>
  </si>
  <si>
    <t>万柏林区</t>
  </si>
  <si>
    <t>中山市</t>
  </si>
  <si>
    <t>528400</t>
  </si>
  <si>
    <t>晋源区</t>
  </si>
  <si>
    <t>潮州市</t>
  </si>
  <si>
    <t>515600</t>
  </si>
  <si>
    <t>清徐县</t>
  </si>
  <si>
    <t>揭阳市</t>
  </si>
  <si>
    <t>522000</t>
  </si>
  <si>
    <t>阳曲县</t>
  </si>
  <si>
    <t>云浮市</t>
  </si>
  <si>
    <t>527300</t>
  </si>
  <si>
    <t>娄烦县</t>
  </si>
  <si>
    <t>南宁市</t>
  </si>
  <si>
    <t>530000</t>
  </si>
  <si>
    <t>古交市</t>
  </si>
  <si>
    <t>柳州市</t>
  </si>
  <si>
    <t>545000</t>
  </si>
  <si>
    <t>城区</t>
  </si>
  <si>
    <t>桂林市</t>
  </si>
  <si>
    <t>541000</t>
  </si>
  <si>
    <t>矿区</t>
  </si>
  <si>
    <t>梧州市</t>
  </si>
  <si>
    <t>543000</t>
  </si>
  <si>
    <t>南郊区</t>
  </si>
  <si>
    <t>北海市</t>
  </si>
  <si>
    <t>536000</t>
  </si>
  <si>
    <t>新荣区</t>
  </si>
  <si>
    <t>防城港市</t>
  </si>
  <si>
    <t>538000</t>
  </si>
  <si>
    <t>阳高县</t>
  </si>
  <si>
    <t>钦州市</t>
  </si>
  <si>
    <t>535000</t>
  </si>
  <si>
    <t>天镇县</t>
  </si>
  <si>
    <t>贵港市</t>
  </si>
  <si>
    <t>537100</t>
  </si>
  <si>
    <t>广灵县</t>
  </si>
  <si>
    <t>玉林市</t>
  </si>
  <si>
    <t>537000</t>
  </si>
  <si>
    <t>灵丘县</t>
  </si>
  <si>
    <t>百色市</t>
  </si>
  <si>
    <t>533000</t>
  </si>
  <si>
    <t>浑源县</t>
  </si>
  <si>
    <t>贺州市</t>
  </si>
  <si>
    <t>542800</t>
  </si>
  <si>
    <t>左云县</t>
  </si>
  <si>
    <t>河池市</t>
  </si>
  <si>
    <t>547000</t>
  </si>
  <si>
    <t>大同县</t>
  </si>
  <si>
    <t>来宾市</t>
  </si>
  <si>
    <t>546100</t>
  </si>
  <si>
    <t>崇左市</t>
  </si>
  <si>
    <t>532200</t>
  </si>
  <si>
    <t>海口市</t>
  </si>
  <si>
    <t>570000</t>
  </si>
  <si>
    <t>郊区</t>
  </si>
  <si>
    <t>三亚市</t>
  </si>
  <si>
    <t>572000</t>
  </si>
  <si>
    <t>平定县</t>
  </si>
  <si>
    <t>400000</t>
  </si>
  <si>
    <t>盂县</t>
  </si>
  <si>
    <t>610000</t>
  </si>
  <si>
    <t>自贡市</t>
  </si>
  <si>
    <t>643000</t>
  </si>
  <si>
    <t>攀枝花市</t>
  </si>
  <si>
    <t>617000</t>
  </si>
  <si>
    <t>长治县</t>
  </si>
  <si>
    <t>泸州市</t>
  </si>
  <si>
    <t>646100</t>
  </si>
  <si>
    <t>襄垣县</t>
  </si>
  <si>
    <t>德阳市</t>
  </si>
  <si>
    <t>618000</t>
  </si>
  <si>
    <t>屯留县</t>
  </si>
  <si>
    <t>绵阳市</t>
  </si>
  <si>
    <t>621000</t>
  </si>
  <si>
    <t>平顺县</t>
  </si>
  <si>
    <t>广元市</t>
  </si>
  <si>
    <t>628000</t>
  </si>
  <si>
    <t>黎城县</t>
  </si>
  <si>
    <t>629000</t>
  </si>
  <si>
    <t>壶关县</t>
  </si>
  <si>
    <t>内江市</t>
  </si>
  <si>
    <t>641000</t>
  </si>
  <si>
    <t>长子县</t>
  </si>
  <si>
    <t>乐山市</t>
  </si>
  <si>
    <t>614000</t>
  </si>
  <si>
    <t>武乡县</t>
  </si>
  <si>
    <t>南充市</t>
  </si>
  <si>
    <t>637000</t>
  </si>
  <si>
    <t>沁县</t>
  </si>
  <si>
    <t>眉山市</t>
  </si>
  <si>
    <t>612100</t>
  </si>
  <si>
    <t>沁源县</t>
  </si>
  <si>
    <t>宜宾市</t>
  </si>
  <si>
    <t>644000</t>
  </si>
  <si>
    <t>潞城市</t>
  </si>
  <si>
    <t>广安市</t>
  </si>
  <si>
    <t>638000</t>
  </si>
  <si>
    <t>达州市</t>
  </si>
  <si>
    <t>635000</t>
  </si>
  <si>
    <t>沁水县</t>
  </si>
  <si>
    <t>雅安市</t>
  </si>
  <si>
    <t>625000</t>
  </si>
  <si>
    <t>阳城县</t>
  </si>
  <si>
    <t>巴中市</t>
  </si>
  <si>
    <t>635500</t>
  </si>
  <si>
    <t>陵川县</t>
  </si>
  <si>
    <t>资阳市</t>
  </si>
  <si>
    <t>641300</t>
  </si>
  <si>
    <t>泽州县</t>
  </si>
  <si>
    <t>阿坝藏族羌族自治州</t>
  </si>
  <si>
    <t>624600</t>
  </si>
  <si>
    <t>高平市</t>
  </si>
  <si>
    <t>甘孜藏族自治州</t>
  </si>
  <si>
    <t>626000</t>
  </si>
  <si>
    <t>朔城区</t>
  </si>
  <si>
    <t>凉山彝族自治州</t>
  </si>
  <si>
    <t>615000</t>
  </si>
  <si>
    <t>平鲁区</t>
  </si>
  <si>
    <t>贵阳市</t>
  </si>
  <si>
    <t>55000</t>
  </si>
  <si>
    <t>山阴县</t>
  </si>
  <si>
    <t>六盘水市</t>
  </si>
  <si>
    <t>553000</t>
  </si>
  <si>
    <t>应县</t>
  </si>
  <si>
    <t>遵义市</t>
  </si>
  <si>
    <t>563000</t>
  </si>
  <si>
    <t>右玉县</t>
  </si>
  <si>
    <t>安顺市</t>
  </si>
  <si>
    <t>561000</t>
  </si>
  <si>
    <t>怀仁县</t>
  </si>
  <si>
    <t>铜仁地区</t>
  </si>
  <si>
    <t>554300</t>
  </si>
  <si>
    <t>榆次区</t>
  </si>
  <si>
    <t>黔西南布依族苗族自治州</t>
  </si>
  <si>
    <t>551500</t>
  </si>
  <si>
    <t>榆社县</t>
  </si>
  <si>
    <t>毕节地区</t>
  </si>
  <si>
    <t>551700</t>
  </si>
  <si>
    <t>左权县</t>
  </si>
  <si>
    <t>黔东南苗族侗族自治州</t>
  </si>
  <si>
    <t>和顺县</t>
  </si>
  <si>
    <t>黔南布依族苗族自治州</t>
  </si>
  <si>
    <t>550100</t>
  </si>
  <si>
    <t>昔阳县</t>
  </si>
  <si>
    <t>昆明市</t>
  </si>
  <si>
    <t>650000</t>
  </si>
  <si>
    <t>寿阳县</t>
  </si>
  <si>
    <t>曲靖市</t>
  </si>
  <si>
    <t>655000</t>
  </si>
  <si>
    <t>太谷县</t>
  </si>
  <si>
    <t>玉溪市</t>
  </si>
  <si>
    <t>653100</t>
  </si>
  <si>
    <t>祁县</t>
  </si>
  <si>
    <t>保山市</t>
  </si>
  <si>
    <t>678000</t>
  </si>
  <si>
    <t>平遥县</t>
  </si>
  <si>
    <t>昭通市</t>
  </si>
  <si>
    <t>657000</t>
  </si>
  <si>
    <t>灵石县</t>
  </si>
  <si>
    <t>丽江市</t>
  </si>
  <si>
    <t>674100</t>
  </si>
  <si>
    <t>介休市</t>
  </si>
  <si>
    <t>思茅市</t>
  </si>
  <si>
    <t>665000</t>
  </si>
  <si>
    <t>盐湖区</t>
  </si>
  <si>
    <t>临沧市</t>
  </si>
  <si>
    <t>677000</t>
  </si>
  <si>
    <t>临猗县</t>
  </si>
  <si>
    <t>楚雄彝族自治州</t>
  </si>
  <si>
    <t>675000</t>
  </si>
  <si>
    <t>万荣县</t>
  </si>
  <si>
    <t>红河哈尼族彝族自治州</t>
  </si>
  <si>
    <t>654400</t>
  </si>
  <si>
    <t>闻喜县</t>
  </si>
  <si>
    <t>文山壮族苗族自治州</t>
  </si>
  <si>
    <t>663000</t>
  </si>
  <si>
    <t>稷山县</t>
  </si>
  <si>
    <t>西双版纳傣族自治州</t>
  </si>
  <si>
    <t>666200</t>
  </si>
  <si>
    <t>新绛县</t>
  </si>
  <si>
    <t>大理白族自治州</t>
  </si>
  <si>
    <t>671000</t>
  </si>
  <si>
    <t>绛县</t>
  </si>
  <si>
    <t>德宏傣族景颇族自治州</t>
  </si>
  <si>
    <t>678400</t>
  </si>
  <si>
    <t>垣曲县</t>
  </si>
  <si>
    <t>怒江傈僳族自治州</t>
  </si>
  <si>
    <t>671400</t>
  </si>
  <si>
    <t>夏县</t>
  </si>
  <si>
    <t>迪庆藏族自治州</t>
  </si>
  <si>
    <t>674400</t>
  </si>
  <si>
    <t>平陆县</t>
  </si>
  <si>
    <t>拉萨市</t>
  </si>
  <si>
    <t>850000</t>
  </si>
  <si>
    <t>芮城县</t>
  </si>
  <si>
    <t>昌都地区</t>
  </si>
  <si>
    <t>854000</t>
  </si>
  <si>
    <t>永济市</t>
  </si>
  <si>
    <t>山南地区</t>
  </si>
  <si>
    <t>856000</t>
  </si>
  <si>
    <t>河津市</t>
  </si>
  <si>
    <t>日喀则地区</t>
  </si>
  <si>
    <t>857000</t>
  </si>
  <si>
    <t>忻府区</t>
  </si>
  <si>
    <t>那曲地区</t>
  </si>
  <si>
    <t>852000</t>
  </si>
  <si>
    <t>定襄县</t>
  </si>
  <si>
    <t>阿里地区</t>
  </si>
  <si>
    <t>859100</t>
  </si>
  <si>
    <t>五台县</t>
  </si>
  <si>
    <t>林芝地区</t>
  </si>
  <si>
    <t>860100</t>
  </si>
  <si>
    <t>代县</t>
  </si>
  <si>
    <t>西安市</t>
  </si>
  <si>
    <t>710000</t>
  </si>
  <si>
    <t>繁峙县</t>
  </si>
  <si>
    <t>铜川市</t>
  </si>
  <si>
    <t>727000</t>
  </si>
  <si>
    <t>宁武县</t>
  </si>
  <si>
    <t>宝鸡市</t>
  </si>
  <si>
    <t>721000</t>
  </si>
  <si>
    <t>静乐县</t>
  </si>
  <si>
    <t>咸阳市</t>
  </si>
  <si>
    <t>712000</t>
  </si>
  <si>
    <t>神池县</t>
  </si>
  <si>
    <t>渭南市</t>
  </si>
  <si>
    <t>714000</t>
  </si>
  <si>
    <t>五寨县</t>
  </si>
  <si>
    <t>延安市</t>
  </si>
  <si>
    <t>716000</t>
  </si>
  <si>
    <t>岢岚县</t>
  </si>
  <si>
    <t>汉中市</t>
  </si>
  <si>
    <t>723000</t>
  </si>
  <si>
    <t>河曲县</t>
  </si>
  <si>
    <t>榆林市</t>
  </si>
  <si>
    <t>719000</t>
  </si>
  <si>
    <t>保德县</t>
  </si>
  <si>
    <t>安康市</t>
  </si>
  <si>
    <t>725000</t>
  </si>
  <si>
    <t>偏关县</t>
  </si>
  <si>
    <t>商洛市</t>
  </si>
  <si>
    <t>711500</t>
  </si>
  <si>
    <t>原平市</t>
  </si>
  <si>
    <t>兰州市</t>
  </si>
  <si>
    <t>730000</t>
  </si>
  <si>
    <t>尧都区</t>
  </si>
  <si>
    <t>嘉峪关市</t>
  </si>
  <si>
    <t>735100</t>
  </si>
  <si>
    <t>曲沃县</t>
  </si>
  <si>
    <t>金昌市</t>
  </si>
  <si>
    <t>737100</t>
  </si>
  <si>
    <t>翼城县</t>
  </si>
  <si>
    <t>白银市</t>
  </si>
  <si>
    <t>730900</t>
  </si>
  <si>
    <t>襄汾县</t>
  </si>
  <si>
    <t>天水市</t>
  </si>
  <si>
    <t>741000</t>
  </si>
  <si>
    <t>洪洞县</t>
  </si>
  <si>
    <t>武威市</t>
  </si>
  <si>
    <t>733000</t>
  </si>
  <si>
    <t>古县</t>
  </si>
  <si>
    <t>张掖市</t>
  </si>
  <si>
    <t>734000</t>
  </si>
  <si>
    <t>安泽县</t>
  </si>
  <si>
    <t>平凉市</t>
  </si>
  <si>
    <t>744000</t>
  </si>
  <si>
    <t>浮山县</t>
  </si>
  <si>
    <t>酒泉市</t>
  </si>
  <si>
    <t>735000</t>
  </si>
  <si>
    <t>吉县</t>
  </si>
  <si>
    <t>庆阳市</t>
  </si>
  <si>
    <t>744500</t>
  </si>
  <si>
    <t>乡宁县</t>
  </si>
  <si>
    <t>定西市</t>
  </si>
  <si>
    <t>743000</t>
  </si>
  <si>
    <t>大宁县</t>
  </si>
  <si>
    <t>陇南市</t>
  </si>
  <si>
    <t>742100</t>
  </si>
  <si>
    <t>隰县</t>
  </si>
  <si>
    <t>临夏回族自治州</t>
  </si>
  <si>
    <t>731100</t>
  </si>
  <si>
    <t>永和县</t>
  </si>
  <si>
    <t>甘南藏族自治州</t>
  </si>
  <si>
    <t>747000</t>
  </si>
  <si>
    <t>蒲县</t>
  </si>
  <si>
    <t>西宁市</t>
  </si>
  <si>
    <t>810000</t>
  </si>
  <si>
    <t>汾西县</t>
  </si>
  <si>
    <t>海东地区</t>
  </si>
  <si>
    <t>810600</t>
  </si>
  <si>
    <t>侯马市</t>
  </si>
  <si>
    <t>海北藏族自治州</t>
  </si>
  <si>
    <t>810300</t>
  </si>
  <si>
    <t>霍州市</t>
  </si>
  <si>
    <t>黄南藏族自治州</t>
  </si>
  <si>
    <t>811300</t>
  </si>
  <si>
    <t>离石区</t>
  </si>
  <si>
    <t>海南藏族自治州</t>
  </si>
  <si>
    <t>813000</t>
  </si>
  <si>
    <t>文水县</t>
  </si>
  <si>
    <t>果洛藏族自治州</t>
  </si>
  <si>
    <t>814000</t>
  </si>
  <si>
    <t>交城县</t>
  </si>
  <si>
    <t>玉树藏族自治州</t>
  </si>
  <si>
    <t>815000</t>
  </si>
  <si>
    <t>兴县</t>
  </si>
  <si>
    <t>海西蒙古族藏族自治州</t>
  </si>
  <si>
    <t>817000</t>
  </si>
  <si>
    <t>临县</t>
  </si>
  <si>
    <t>银川市</t>
  </si>
  <si>
    <t>750000</t>
  </si>
  <si>
    <t>柳林县</t>
  </si>
  <si>
    <t>石嘴山市</t>
  </si>
  <si>
    <t>753000</t>
  </si>
  <si>
    <t>石楼县</t>
  </si>
  <si>
    <t>吴忠市</t>
  </si>
  <si>
    <t>751100</t>
  </si>
  <si>
    <t>岚县</t>
  </si>
  <si>
    <t>固原市</t>
  </si>
  <si>
    <t>756000</t>
  </si>
  <si>
    <t>方山县</t>
  </si>
  <si>
    <t>中卫市</t>
  </si>
  <si>
    <t>751700</t>
  </si>
  <si>
    <t>中阳县</t>
  </si>
  <si>
    <t>乌鲁木齐市</t>
  </si>
  <si>
    <t>830000</t>
  </si>
  <si>
    <t>交口县</t>
  </si>
  <si>
    <t>克拉玛依市</t>
  </si>
  <si>
    <t>834000</t>
  </si>
  <si>
    <t>孝义市</t>
  </si>
  <si>
    <t>吐鲁番地区</t>
  </si>
  <si>
    <t>838000</t>
  </si>
  <si>
    <t>汾阳市</t>
  </si>
  <si>
    <t>哈密地区</t>
  </si>
  <si>
    <t>839000</t>
  </si>
  <si>
    <t>新城区</t>
  </si>
  <si>
    <t>昌吉回族自治州</t>
  </si>
  <si>
    <t>831100</t>
  </si>
  <si>
    <t>回民区</t>
  </si>
  <si>
    <t>博尔塔拉蒙古自治州</t>
  </si>
  <si>
    <t>833400</t>
  </si>
  <si>
    <t>玉泉区</t>
  </si>
  <si>
    <t>巴音郭楞蒙古自治州</t>
  </si>
  <si>
    <t>841000</t>
  </si>
  <si>
    <t>赛罕区</t>
  </si>
  <si>
    <t>阿克苏地区</t>
  </si>
  <si>
    <t>843000</t>
  </si>
  <si>
    <t>土默特左旗</t>
  </si>
  <si>
    <t>克孜勒苏柯尔克孜自治州</t>
  </si>
  <si>
    <t>835600</t>
  </si>
  <si>
    <t>托克托县</t>
  </si>
  <si>
    <t>喀什地区</t>
  </si>
  <si>
    <t>844000</t>
  </si>
  <si>
    <t>和林格尔县</t>
  </si>
  <si>
    <t>和田地区</t>
  </si>
  <si>
    <t>848000</t>
  </si>
  <si>
    <t>清水河县</t>
  </si>
  <si>
    <t>伊犁哈萨克自治州</t>
  </si>
  <si>
    <t>833200</t>
  </si>
  <si>
    <t>武川县</t>
  </si>
  <si>
    <t>塔城地区</t>
  </si>
  <si>
    <t>834700</t>
  </si>
  <si>
    <t>东河区</t>
  </si>
  <si>
    <t>阿勒泰地区</t>
  </si>
  <si>
    <t>836500</t>
  </si>
  <si>
    <t>昆都仑区</t>
  </si>
  <si>
    <t>石河子市</t>
  </si>
  <si>
    <t>832000</t>
  </si>
  <si>
    <t>青山区</t>
  </si>
  <si>
    <t>阿拉尔市</t>
  </si>
  <si>
    <t>843300</t>
  </si>
  <si>
    <t>石拐区</t>
  </si>
  <si>
    <t>图木舒克市</t>
  </si>
  <si>
    <t>843900</t>
  </si>
  <si>
    <t>白云矿区</t>
  </si>
  <si>
    <t>五家渠市</t>
  </si>
  <si>
    <t>831300</t>
  </si>
  <si>
    <t>九原区</t>
  </si>
  <si>
    <t>000000</t>
  </si>
  <si>
    <t>土默特右旗</t>
  </si>
  <si>
    <t>固阳县</t>
  </si>
  <si>
    <t>达尔罕茂明安联合旗</t>
  </si>
  <si>
    <t>海勃湾区</t>
  </si>
  <si>
    <t>海南区</t>
  </si>
  <si>
    <t>乌达区</t>
  </si>
  <si>
    <t>红山区</t>
  </si>
  <si>
    <t>元宝山区</t>
  </si>
  <si>
    <t>松山区</t>
  </si>
  <si>
    <t>阿鲁科尔沁旗</t>
  </si>
  <si>
    <t>巴林左旗</t>
  </si>
  <si>
    <t>巴林右旗</t>
  </si>
  <si>
    <t>林西县</t>
  </si>
  <si>
    <t>克什克腾旗</t>
  </si>
  <si>
    <t>翁牛特旗</t>
  </si>
  <si>
    <t>喀喇沁旗</t>
  </si>
  <si>
    <t>宁城县</t>
  </si>
  <si>
    <t>敖汉旗</t>
  </si>
  <si>
    <t>科尔沁区</t>
  </si>
  <si>
    <t>科尔沁左翼中旗</t>
  </si>
  <si>
    <t>科尔沁左翼后旗</t>
  </si>
  <si>
    <t>开鲁县</t>
  </si>
  <si>
    <t>库伦旗</t>
  </si>
  <si>
    <t>奈曼旗</t>
  </si>
  <si>
    <t>扎鲁特旗</t>
  </si>
  <si>
    <t>霍林郭勒市</t>
  </si>
  <si>
    <t>东胜区</t>
  </si>
  <si>
    <t>达拉特旗</t>
  </si>
  <si>
    <t>准格尔旗</t>
  </si>
  <si>
    <t>鄂托克前旗</t>
  </si>
  <si>
    <t>鄂托克旗</t>
  </si>
  <si>
    <t>杭锦旗</t>
  </si>
  <si>
    <t>乌审旗</t>
  </si>
  <si>
    <t>伊金霍洛旗</t>
  </si>
  <si>
    <t>海拉尔区</t>
  </si>
  <si>
    <t>阿荣旗</t>
  </si>
  <si>
    <t>莫力达瓦达斡尔族自治旗</t>
  </si>
  <si>
    <t>鄂伦春自治旗</t>
  </si>
  <si>
    <t>鄂温克族自治旗</t>
  </si>
  <si>
    <t>陈巴尔虎旗</t>
  </si>
  <si>
    <t>新巴尔虎左旗</t>
  </si>
  <si>
    <t>新巴尔虎右旗</t>
  </si>
  <si>
    <t>满洲里市</t>
  </si>
  <si>
    <t>牙克石市</t>
  </si>
  <si>
    <t>扎兰屯市</t>
  </si>
  <si>
    <t>额尔古纳市</t>
  </si>
  <si>
    <t>根河市</t>
  </si>
  <si>
    <t>临河区</t>
  </si>
  <si>
    <t>五原县</t>
  </si>
  <si>
    <t>磴口县</t>
  </si>
  <si>
    <t>乌拉特前旗</t>
  </si>
  <si>
    <t>乌拉特中旗</t>
  </si>
  <si>
    <t>乌拉特后旗</t>
  </si>
  <si>
    <t>杭锦后旗</t>
  </si>
  <si>
    <t>集宁区</t>
  </si>
  <si>
    <t>卓资县</t>
  </si>
  <si>
    <t>化德县</t>
  </si>
  <si>
    <t>商都县</t>
  </si>
  <si>
    <t>兴和县</t>
  </si>
  <si>
    <t>凉城县</t>
  </si>
  <si>
    <t>察哈尔右翼前旗</t>
  </si>
  <si>
    <t>察哈尔右翼中旗</t>
  </si>
  <si>
    <t>察哈尔右翼后旗</t>
  </si>
  <si>
    <t>四子王旗</t>
  </si>
  <si>
    <t>丰镇市</t>
  </si>
  <si>
    <t>乌兰浩特市</t>
  </si>
  <si>
    <t>阿尔山市</t>
  </si>
  <si>
    <t>科尔沁右翼前旗</t>
  </si>
  <si>
    <t>科尔沁右翼中旗</t>
  </si>
  <si>
    <t>扎赉特旗</t>
  </si>
  <si>
    <t>突泉县</t>
  </si>
  <si>
    <t>二连浩特市</t>
  </si>
  <si>
    <t>锡林浩特市</t>
  </si>
  <si>
    <t>阿巴嘎旗</t>
  </si>
  <si>
    <t>苏尼特左旗</t>
  </si>
  <si>
    <t>苏尼特右旗</t>
  </si>
  <si>
    <t>东乌珠穆沁旗</t>
  </si>
  <si>
    <t>西乌珠穆沁旗</t>
  </si>
  <si>
    <t>太仆寺旗</t>
  </si>
  <si>
    <t>镶黄旗</t>
  </si>
  <si>
    <t>正镶白旗</t>
  </si>
  <si>
    <t>正蓝旗</t>
  </si>
  <si>
    <t>多伦县</t>
  </si>
  <si>
    <t>阿拉善左旗</t>
  </si>
  <si>
    <t>阿拉善右旗</t>
  </si>
  <si>
    <t>额济纳旗</t>
  </si>
  <si>
    <t>沈河区</t>
  </si>
  <si>
    <t>大东区</t>
  </si>
  <si>
    <t>皇姑区</t>
  </si>
  <si>
    <t>铁西区</t>
  </si>
  <si>
    <t>苏家屯区</t>
  </si>
  <si>
    <t>东陵区</t>
  </si>
  <si>
    <t>新城子区</t>
  </si>
  <si>
    <t>于洪区</t>
  </si>
  <si>
    <t>辽中县</t>
  </si>
  <si>
    <t>康平县</t>
  </si>
  <si>
    <t>法库县</t>
  </si>
  <si>
    <t>新民市</t>
  </si>
  <si>
    <t>中山区</t>
  </si>
  <si>
    <t>西岗区</t>
  </si>
  <si>
    <t>沙河口区</t>
  </si>
  <si>
    <t>甘井子区</t>
  </si>
  <si>
    <t>旅顺口区</t>
  </si>
  <si>
    <t>金州区</t>
  </si>
  <si>
    <t>长海县</t>
  </si>
  <si>
    <t>瓦房店市</t>
  </si>
  <si>
    <t>普兰店市</t>
  </si>
  <si>
    <t>庄河市</t>
  </si>
  <si>
    <t>铁东区</t>
  </si>
  <si>
    <t>立山区</t>
  </si>
  <si>
    <t>千山区</t>
  </si>
  <si>
    <t>台安县</t>
  </si>
  <si>
    <t>岫岩满族自治县</t>
  </si>
  <si>
    <t>海城市</t>
  </si>
  <si>
    <t>新抚区</t>
  </si>
  <si>
    <t>东洲区</t>
  </si>
  <si>
    <t>望花区</t>
  </si>
  <si>
    <t>顺城区</t>
  </si>
  <si>
    <t>抚顺县</t>
  </si>
  <si>
    <t>新宾满族自治县</t>
  </si>
  <si>
    <t>清原满族自治县</t>
  </si>
  <si>
    <t>平山区</t>
  </si>
  <si>
    <t>溪湖区</t>
  </si>
  <si>
    <t>明山区</t>
  </si>
  <si>
    <t>南芬区</t>
  </si>
  <si>
    <t>本溪满族自治县</t>
  </si>
  <si>
    <t>桓仁满族自治县</t>
  </si>
  <si>
    <t>元宝区</t>
  </si>
  <si>
    <t>振兴区</t>
  </si>
  <si>
    <t>振安区</t>
  </si>
  <si>
    <t>宽甸满族自治县</t>
  </si>
  <si>
    <t>东港市</t>
  </si>
  <si>
    <t>凤城市</t>
  </si>
  <si>
    <t>古塔区</t>
  </si>
  <si>
    <t>凌河区</t>
  </si>
  <si>
    <t>太和区</t>
  </si>
  <si>
    <t>黑山县</t>
  </si>
  <si>
    <t>义县</t>
  </si>
  <si>
    <t>凌海市</t>
  </si>
  <si>
    <t>北宁市</t>
  </si>
  <si>
    <t>站前区</t>
  </si>
  <si>
    <t>西市区</t>
  </si>
  <si>
    <t>鲅鱼圈区</t>
  </si>
  <si>
    <t>老边区</t>
  </si>
  <si>
    <t>盖州市</t>
  </si>
  <si>
    <t>大石桥市</t>
  </si>
  <si>
    <t>海州区</t>
  </si>
  <si>
    <t>新邱区</t>
  </si>
  <si>
    <t>太平区</t>
  </si>
  <si>
    <t>清河门区</t>
  </si>
  <si>
    <t>细河区</t>
  </si>
  <si>
    <t>阜新蒙古族自治县</t>
  </si>
  <si>
    <t>彰武县</t>
  </si>
  <si>
    <t>白塔区</t>
  </si>
  <si>
    <t>文圣区</t>
  </si>
  <si>
    <t>宏伟区</t>
  </si>
  <si>
    <t>弓长岭区</t>
  </si>
  <si>
    <t>太子河区</t>
  </si>
  <si>
    <t>辽阳县</t>
  </si>
  <si>
    <t>灯塔市</t>
  </si>
  <si>
    <t>双台子区</t>
  </si>
  <si>
    <t>兴隆台区</t>
  </si>
  <si>
    <t>大洼县</t>
  </si>
  <si>
    <t>盘山县</t>
  </si>
  <si>
    <t>银州区</t>
  </si>
  <si>
    <t>清河区</t>
  </si>
  <si>
    <t>铁岭县</t>
  </si>
  <si>
    <t>西丰县</t>
  </si>
  <si>
    <t>昌图县</t>
  </si>
  <si>
    <t>调兵山市</t>
  </si>
  <si>
    <t>开原市</t>
  </si>
  <si>
    <t>双塔区</t>
  </si>
  <si>
    <t>龙城区</t>
  </si>
  <si>
    <t>朝阳县</t>
  </si>
  <si>
    <t>建平县</t>
  </si>
  <si>
    <t>喀喇沁左翼蒙古族自治县</t>
  </si>
  <si>
    <t>北票市</t>
  </si>
  <si>
    <t>凌源市</t>
  </si>
  <si>
    <t>连山区</t>
  </si>
  <si>
    <t>龙港区</t>
  </si>
  <si>
    <t>南票区</t>
  </si>
  <si>
    <t>绥中县</t>
  </si>
  <si>
    <t>建昌县</t>
  </si>
  <si>
    <t>兴城市</t>
  </si>
  <si>
    <t>南关区</t>
  </si>
  <si>
    <t>宽城区</t>
  </si>
  <si>
    <t>二道区</t>
  </si>
  <si>
    <t>绿园区</t>
  </si>
  <si>
    <t>双阳区</t>
  </si>
  <si>
    <t>农安县</t>
  </si>
  <si>
    <t>九台市</t>
  </si>
  <si>
    <t>榆树市</t>
  </si>
  <si>
    <t>德惠市</t>
  </si>
  <si>
    <t>昌邑区</t>
  </si>
  <si>
    <t>龙潭区</t>
  </si>
  <si>
    <t>船营区</t>
  </si>
  <si>
    <t>丰满区</t>
  </si>
  <si>
    <t>永吉县</t>
  </si>
  <si>
    <t>蛟河市</t>
  </si>
  <si>
    <t>桦甸市</t>
  </si>
  <si>
    <t>舒兰市</t>
  </si>
  <si>
    <t>磐石市</t>
  </si>
  <si>
    <t>梨树县</t>
  </si>
  <si>
    <t>伊通满族自治县</t>
  </si>
  <si>
    <t>公主岭市</t>
  </si>
  <si>
    <t>双辽市</t>
  </si>
  <si>
    <t>龙山区</t>
  </si>
  <si>
    <t>西安区</t>
  </si>
  <si>
    <t>东丰县</t>
  </si>
  <si>
    <t>东辽县</t>
  </si>
  <si>
    <t>东昌区</t>
  </si>
  <si>
    <t>二道江区</t>
  </si>
  <si>
    <t>通化县</t>
  </si>
  <si>
    <t>辉南县</t>
  </si>
  <si>
    <t>柳河县</t>
  </si>
  <si>
    <t>梅河口市</t>
  </si>
  <si>
    <t>集安市</t>
  </si>
  <si>
    <t>八道江区</t>
  </si>
  <si>
    <t>抚松县</t>
  </si>
  <si>
    <t>靖宇县</t>
  </si>
  <si>
    <t>长白朝鲜族自治县</t>
  </si>
  <si>
    <t>江源县</t>
  </si>
  <si>
    <t>临江市</t>
  </si>
  <si>
    <t>宁江区</t>
  </si>
  <si>
    <t>前郭尔罗斯蒙古族自治县</t>
  </si>
  <si>
    <t>长岭县</t>
  </si>
  <si>
    <t>乾安县</t>
  </si>
  <si>
    <t>扶余县</t>
  </si>
  <si>
    <t>洮北区</t>
  </si>
  <si>
    <t>镇赉县</t>
  </si>
  <si>
    <t>通榆县</t>
  </si>
  <si>
    <t>洮南市</t>
  </si>
  <si>
    <t>大安市</t>
  </si>
  <si>
    <t>延吉市</t>
  </si>
  <si>
    <t>图们市</t>
  </si>
  <si>
    <t>敦化市</t>
  </si>
  <si>
    <t>珲春市</t>
  </si>
  <si>
    <t>龙井市</t>
  </si>
  <si>
    <t>和龙市</t>
  </si>
  <si>
    <t>汪清县</t>
  </si>
  <si>
    <t>安图县</t>
  </si>
  <si>
    <t>道里区</t>
  </si>
  <si>
    <t>南岗区</t>
  </si>
  <si>
    <t>道外区</t>
  </si>
  <si>
    <t>香坊区</t>
  </si>
  <si>
    <t>动力区</t>
  </si>
  <si>
    <t>平房区</t>
  </si>
  <si>
    <t>松北区</t>
  </si>
  <si>
    <t>呼兰区</t>
  </si>
  <si>
    <t>依兰县</t>
  </si>
  <si>
    <t>方正县</t>
  </si>
  <si>
    <t>宾县</t>
  </si>
  <si>
    <t>巴彦县</t>
  </si>
  <si>
    <t>木兰县</t>
  </si>
  <si>
    <t>通河县</t>
  </si>
  <si>
    <t>延寿县</t>
  </si>
  <si>
    <t>阿城市</t>
  </si>
  <si>
    <t>双城市</t>
  </si>
  <si>
    <t>尚志市</t>
  </si>
  <si>
    <t>五常市</t>
  </si>
  <si>
    <t>龙沙区</t>
  </si>
  <si>
    <t>建华区</t>
  </si>
  <si>
    <t>铁锋区</t>
  </si>
  <si>
    <t>昂昂溪区</t>
  </si>
  <si>
    <t>富拉尔基区</t>
  </si>
  <si>
    <t>碾子山区</t>
  </si>
  <si>
    <t>梅里斯达斡尔族区</t>
  </si>
  <si>
    <t>龙江县</t>
  </si>
  <si>
    <t>依安县</t>
  </si>
  <si>
    <t>泰来县</t>
  </si>
  <si>
    <t>甘南县</t>
  </si>
  <si>
    <t>富裕县</t>
  </si>
  <si>
    <t>克山县</t>
  </si>
  <si>
    <t>克东县</t>
  </si>
  <si>
    <t>拜泉县</t>
  </si>
  <si>
    <t>讷河市</t>
  </si>
  <si>
    <t>鸡冠区</t>
  </si>
  <si>
    <t>恒山区</t>
  </si>
  <si>
    <t>滴道区</t>
  </si>
  <si>
    <t>梨树区</t>
  </si>
  <si>
    <t>城子河区</t>
  </si>
  <si>
    <t>麻山区</t>
  </si>
  <si>
    <t>鸡东县</t>
  </si>
  <si>
    <t>虎林市</t>
  </si>
  <si>
    <t>密山市</t>
  </si>
  <si>
    <t>向阳区</t>
  </si>
  <si>
    <t>工农区</t>
  </si>
  <si>
    <t>南山区</t>
  </si>
  <si>
    <t>兴安区</t>
  </si>
  <si>
    <t>东山区</t>
  </si>
  <si>
    <t>兴山区</t>
  </si>
  <si>
    <t>萝北县</t>
  </si>
  <si>
    <t>绥滨县</t>
  </si>
  <si>
    <t>尖山区</t>
  </si>
  <si>
    <t>岭东区</t>
  </si>
  <si>
    <t>四方台区</t>
  </si>
  <si>
    <t>宝山区</t>
  </si>
  <si>
    <t>集贤县</t>
  </si>
  <si>
    <t>友谊县</t>
  </si>
  <si>
    <t>宝清县</t>
  </si>
  <si>
    <t>饶河县</t>
  </si>
  <si>
    <t>萨尔图区</t>
  </si>
  <si>
    <t>龙凤区</t>
  </si>
  <si>
    <t>让胡路区</t>
  </si>
  <si>
    <t>红岗区</t>
  </si>
  <si>
    <t>大同区</t>
  </si>
  <si>
    <t>肇州县</t>
  </si>
  <si>
    <t>肇源县</t>
  </si>
  <si>
    <t>林甸县</t>
  </si>
  <si>
    <t>杜尔伯特蒙古族自治县</t>
  </si>
  <si>
    <t>伊春区</t>
  </si>
  <si>
    <t>南岔区</t>
  </si>
  <si>
    <t>友好区</t>
  </si>
  <si>
    <t>西林区</t>
  </si>
  <si>
    <t>翠峦区</t>
  </si>
  <si>
    <t>新青区</t>
  </si>
  <si>
    <t>美溪区</t>
  </si>
  <si>
    <t>金山屯区</t>
  </si>
  <si>
    <t>五营区</t>
  </si>
  <si>
    <t>乌马河区</t>
  </si>
  <si>
    <t>汤旺河区</t>
  </si>
  <si>
    <t>带岭区</t>
  </si>
  <si>
    <t>乌伊岭区</t>
  </si>
  <si>
    <t>红星区</t>
  </si>
  <si>
    <t>上甘岭区</t>
  </si>
  <si>
    <t>嘉荫县</t>
  </si>
  <si>
    <t>铁力市</t>
  </si>
  <si>
    <t>永红区</t>
  </si>
  <si>
    <t>前进区</t>
  </si>
  <si>
    <t>东风区</t>
  </si>
  <si>
    <t>桦南县</t>
  </si>
  <si>
    <t>桦川县</t>
  </si>
  <si>
    <t>汤原县</t>
  </si>
  <si>
    <t>抚远县</t>
  </si>
  <si>
    <t>同江市</t>
  </si>
  <si>
    <t>富锦市</t>
  </si>
  <si>
    <t>新兴区</t>
  </si>
  <si>
    <t>桃山区</t>
  </si>
  <si>
    <t>茄子河区</t>
  </si>
  <si>
    <t>勃利县</t>
  </si>
  <si>
    <t>东安区</t>
  </si>
  <si>
    <t>阳明区</t>
  </si>
  <si>
    <t>爱民区</t>
  </si>
  <si>
    <t>东宁县</t>
  </si>
  <si>
    <t>林口县</t>
  </si>
  <si>
    <t>绥芬河市</t>
  </si>
  <si>
    <t>海林市</t>
  </si>
  <si>
    <t>宁安市</t>
  </si>
  <si>
    <t>穆棱市</t>
  </si>
  <si>
    <t>爱辉区</t>
  </si>
  <si>
    <t>嫩江县</t>
  </si>
  <si>
    <t>逊克县</t>
  </si>
  <si>
    <t>孙吴县</t>
  </si>
  <si>
    <t>北安市</t>
  </si>
  <si>
    <t>五大连池市</t>
  </si>
  <si>
    <t>北林区</t>
  </si>
  <si>
    <t>望奎县</t>
  </si>
  <si>
    <t>兰西县</t>
  </si>
  <si>
    <t>青冈县</t>
  </si>
  <si>
    <t>庆安县</t>
  </si>
  <si>
    <t>明水县</t>
  </si>
  <si>
    <t>绥棱县</t>
  </si>
  <si>
    <t>安达市</t>
  </si>
  <si>
    <t>肇东市</t>
  </si>
  <si>
    <t>海伦市</t>
  </si>
  <si>
    <t>呼玛县</t>
  </si>
  <si>
    <t>塔河县</t>
  </si>
  <si>
    <t>漠河县</t>
  </si>
  <si>
    <t>黄浦区</t>
  </si>
  <si>
    <t>卢湾区</t>
  </si>
  <si>
    <t>徐汇区</t>
  </si>
  <si>
    <t>长宁区</t>
  </si>
  <si>
    <t>静安区</t>
  </si>
  <si>
    <t>普陀区</t>
  </si>
  <si>
    <t>闸北区</t>
  </si>
  <si>
    <t>虹口区</t>
  </si>
  <si>
    <t>杨浦区</t>
  </si>
  <si>
    <t>闵行区</t>
  </si>
  <si>
    <t>嘉定区</t>
  </si>
  <si>
    <t>浦东新区</t>
  </si>
  <si>
    <t>金山区</t>
  </si>
  <si>
    <t>松江区</t>
  </si>
  <si>
    <t>青浦区</t>
  </si>
  <si>
    <t>南汇区</t>
  </si>
  <si>
    <t>奉贤区</t>
  </si>
  <si>
    <t>崇明县</t>
  </si>
  <si>
    <t>玄武区</t>
  </si>
  <si>
    <t>白下区</t>
  </si>
  <si>
    <t>秦淮区</t>
  </si>
  <si>
    <t>建邺区</t>
  </si>
  <si>
    <t>鼓楼区</t>
  </si>
  <si>
    <t>下关区</t>
  </si>
  <si>
    <t>浦口区</t>
  </si>
  <si>
    <t>栖霞区</t>
  </si>
  <si>
    <t>雨花台区</t>
  </si>
  <si>
    <t>江宁区</t>
  </si>
  <si>
    <t>六合区</t>
  </si>
  <si>
    <t>溧水县</t>
  </si>
  <si>
    <t>高淳县</t>
  </si>
  <si>
    <t>崇安区</t>
  </si>
  <si>
    <t>南长区</t>
  </si>
  <si>
    <t>北塘区</t>
  </si>
  <si>
    <t>锡山区</t>
  </si>
  <si>
    <t>惠山区</t>
  </si>
  <si>
    <t>滨湖区</t>
  </si>
  <si>
    <t>江阴市</t>
  </si>
  <si>
    <t>宜兴市</t>
  </si>
  <si>
    <t>云龙区</t>
  </si>
  <si>
    <t>九里区</t>
  </si>
  <si>
    <t>贾汪区</t>
  </si>
  <si>
    <t>泉山区</t>
  </si>
  <si>
    <t>丰县</t>
  </si>
  <si>
    <t>沛县</t>
  </si>
  <si>
    <t>铜山县</t>
  </si>
  <si>
    <t>睢宁县</t>
  </si>
  <si>
    <t>新沂市</t>
  </si>
  <si>
    <t>邳州市</t>
  </si>
  <si>
    <t>天宁区</t>
  </si>
  <si>
    <t>钟楼区</t>
  </si>
  <si>
    <t>戚墅堰区</t>
  </si>
  <si>
    <t>新北区</t>
  </si>
  <si>
    <t>武进区</t>
  </si>
  <si>
    <t>溧阳市</t>
  </si>
  <si>
    <t>金坛市</t>
  </si>
  <si>
    <t>沧浪区</t>
  </si>
  <si>
    <t>平江区</t>
  </si>
  <si>
    <t>金阊区</t>
  </si>
  <si>
    <t>虎丘区</t>
  </si>
  <si>
    <t>吴中区</t>
  </si>
  <si>
    <t>相城区</t>
  </si>
  <si>
    <t>常熟市</t>
  </si>
  <si>
    <t>张家港市</t>
  </si>
  <si>
    <t>昆山市</t>
  </si>
  <si>
    <t>吴江市</t>
  </si>
  <si>
    <t>太仓市</t>
  </si>
  <si>
    <t>崇川区</t>
  </si>
  <si>
    <t>港闸区</t>
  </si>
  <si>
    <t>海安县</t>
  </si>
  <si>
    <t>如东县</t>
  </si>
  <si>
    <t>启东市</t>
  </si>
  <si>
    <t>如皋市</t>
  </si>
  <si>
    <t>通州市</t>
  </si>
  <si>
    <t>海门市</t>
  </si>
  <si>
    <t>连云区</t>
  </si>
  <si>
    <t>新浦区</t>
  </si>
  <si>
    <t>赣榆县</t>
  </si>
  <si>
    <t>东海县</t>
  </si>
  <si>
    <t>灌云县</t>
  </si>
  <si>
    <t>灌南县</t>
  </si>
  <si>
    <t>楚州区</t>
  </si>
  <si>
    <t>淮阴区</t>
  </si>
  <si>
    <t>清浦区</t>
  </si>
  <si>
    <t>涟水县</t>
  </si>
  <si>
    <t>洪泽县</t>
  </si>
  <si>
    <t>盱眙县</t>
  </si>
  <si>
    <t>金湖县</t>
  </si>
  <si>
    <t>亭湖区</t>
  </si>
  <si>
    <t>盐都区</t>
  </si>
  <si>
    <t>响水县</t>
  </si>
  <si>
    <t>滨海县</t>
  </si>
  <si>
    <t>阜宁县</t>
  </si>
  <si>
    <t>射阳县</t>
  </si>
  <si>
    <t>建湖县</t>
  </si>
  <si>
    <t>东台市</t>
  </si>
  <si>
    <t>大丰市</t>
  </si>
  <si>
    <t>广陵区</t>
  </si>
  <si>
    <t>邗江区</t>
  </si>
  <si>
    <t>维扬区</t>
  </si>
  <si>
    <t>宝应县</t>
  </si>
  <si>
    <t>仪征市</t>
  </si>
  <si>
    <t>高邮市</t>
  </si>
  <si>
    <t>江都市</t>
  </si>
  <si>
    <t>京口区</t>
  </si>
  <si>
    <t>润州区</t>
  </si>
  <si>
    <t>丹徒区</t>
  </si>
  <si>
    <t>丹阳市</t>
  </si>
  <si>
    <t>扬中市</t>
  </si>
  <si>
    <t>句容市</t>
  </si>
  <si>
    <t>海陵区</t>
  </si>
  <si>
    <t>高港区</t>
  </si>
  <si>
    <t>兴化市</t>
  </si>
  <si>
    <t>靖江市</t>
  </si>
  <si>
    <t>泰兴市</t>
  </si>
  <si>
    <t>姜堰市</t>
  </si>
  <si>
    <t>宿城区</t>
  </si>
  <si>
    <t>宿豫区</t>
  </si>
  <si>
    <t>沭阳县</t>
  </si>
  <si>
    <t>泗阳县</t>
  </si>
  <si>
    <t>泗洪县</t>
  </si>
  <si>
    <t>上城区</t>
  </si>
  <si>
    <t>下城区</t>
  </si>
  <si>
    <t>江干区</t>
  </si>
  <si>
    <t>拱墅区</t>
  </si>
  <si>
    <t>西湖区</t>
  </si>
  <si>
    <t>滨江区</t>
  </si>
  <si>
    <t>萧山区</t>
  </si>
  <si>
    <t>余杭区</t>
  </si>
  <si>
    <t>桐庐县</t>
  </si>
  <si>
    <t>淳安县</t>
  </si>
  <si>
    <t>建德市</t>
  </si>
  <si>
    <t>富阳市</t>
  </si>
  <si>
    <t>临安市</t>
  </si>
  <si>
    <t>海曙区</t>
  </si>
  <si>
    <t>江东区</t>
  </si>
  <si>
    <t>江北区</t>
  </si>
  <si>
    <t>北仑区</t>
  </si>
  <si>
    <t>镇海区</t>
  </si>
  <si>
    <t>鄞州区</t>
  </si>
  <si>
    <t>象山县</t>
  </si>
  <si>
    <t>宁海县</t>
  </si>
  <si>
    <t>余姚市</t>
  </si>
  <si>
    <t>慈溪市</t>
  </si>
  <si>
    <t>奉化市</t>
  </si>
  <si>
    <t>鹿城区</t>
  </si>
  <si>
    <t>龙湾区</t>
  </si>
  <si>
    <t>瓯海区</t>
  </si>
  <si>
    <t>洞头县</t>
  </si>
  <si>
    <t>永嘉县</t>
  </si>
  <si>
    <t>平阳县</t>
  </si>
  <si>
    <t>苍南县</t>
  </si>
  <si>
    <t>文成县</t>
  </si>
  <si>
    <t>泰顺县</t>
  </si>
  <si>
    <t>瑞安市</t>
  </si>
  <si>
    <t>乐清市</t>
  </si>
  <si>
    <t>秀城区</t>
  </si>
  <si>
    <t>秀洲区</t>
  </si>
  <si>
    <t>嘉善县</t>
  </si>
  <si>
    <t>海盐县</t>
  </si>
  <si>
    <t>海宁市</t>
  </si>
  <si>
    <t>平湖市</t>
  </si>
  <si>
    <t>桐乡市</t>
  </si>
  <si>
    <t>吴兴区</t>
  </si>
  <si>
    <t>南浔区</t>
  </si>
  <si>
    <t>德清县</t>
  </si>
  <si>
    <t>长兴县</t>
  </si>
  <si>
    <t>安吉县</t>
  </si>
  <si>
    <t>越城区</t>
  </si>
  <si>
    <t>绍兴县</t>
  </si>
  <si>
    <t>新昌县</t>
  </si>
  <si>
    <t>诸暨市</t>
  </si>
  <si>
    <t>上虞市</t>
  </si>
  <si>
    <t>嵊州市</t>
  </si>
  <si>
    <t>婺城区</t>
  </si>
  <si>
    <t>金东区</t>
  </si>
  <si>
    <t>武义县</t>
  </si>
  <si>
    <t>浦江县</t>
  </si>
  <si>
    <t>磐安县</t>
  </si>
  <si>
    <t>兰溪市</t>
  </si>
  <si>
    <t>义乌市</t>
  </si>
  <si>
    <t>东阳市</t>
  </si>
  <si>
    <t>永康市</t>
  </si>
  <si>
    <t>柯城区</t>
  </si>
  <si>
    <t>衢江区</t>
  </si>
  <si>
    <t>常山县</t>
  </si>
  <si>
    <t>开化县</t>
  </si>
  <si>
    <t>龙游县</t>
  </si>
  <si>
    <t>江山市</t>
  </si>
  <si>
    <t>定海区</t>
  </si>
  <si>
    <t>岱山县</t>
  </si>
  <si>
    <t>嵊泗县</t>
  </si>
  <si>
    <t>椒江区</t>
  </si>
  <si>
    <t>黄岩区</t>
  </si>
  <si>
    <t>路桥区</t>
  </si>
  <si>
    <t>玉环县</t>
  </si>
  <si>
    <t>三门县</t>
  </si>
  <si>
    <t>天台县</t>
  </si>
  <si>
    <t>仙居县</t>
  </si>
  <si>
    <t>温岭市</t>
  </si>
  <si>
    <t>临海市</t>
  </si>
  <si>
    <t>莲都区</t>
  </si>
  <si>
    <t>青田县</t>
  </si>
  <si>
    <t>缙云县</t>
  </si>
  <si>
    <t>遂昌县</t>
  </si>
  <si>
    <t>松阳县</t>
  </si>
  <si>
    <t>云和县</t>
  </si>
  <si>
    <t>庆元县</t>
  </si>
  <si>
    <t>景宁畲族自治县</t>
  </si>
  <si>
    <t>龙泉市</t>
  </si>
  <si>
    <t>瑶海区</t>
  </si>
  <si>
    <t>庐阳区</t>
  </si>
  <si>
    <t>蜀山区</t>
  </si>
  <si>
    <t>包河区</t>
  </si>
  <si>
    <t>长丰县</t>
  </si>
  <si>
    <t>肥东县</t>
  </si>
  <si>
    <t>肥西县</t>
  </si>
  <si>
    <t>镜湖区</t>
  </si>
  <si>
    <t>马塘区</t>
  </si>
  <si>
    <t>新芜区</t>
  </si>
  <si>
    <t>鸠江区</t>
  </si>
  <si>
    <t>芜湖县</t>
  </si>
  <si>
    <t>繁昌县</t>
  </si>
  <si>
    <t>南陵县</t>
  </si>
  <si>
    <t>龙子湖区</t>
  </si>
  <si>
    <t>蚌山区</t>
  </si>
  <si>
    <t>禹会区</t>
  </si>
  <si>
    <t>淮上区</t>
  </si>
  <si>
    <t>怀远县</t>
  </si>
  <si>
    <t>五河县</t>
  </si>
  <si>
    <t>固镇县</t>
  </si>
  <si>
    <t>大通区</t>
  </si>
  <si>
    <t>田家庵区</t>
  </si>
  <si>
    <t>谢家集区</t>
  </si>
  <si>
    <t>八公山区</t>
  </si>
  <si>
    <t>潘集区</t>
  </si>
  <si>
    <t>凤台县</t>
  </si>
  <si>
    <t>金家庄区</t>
  </si>
  <si>
    <t>花山区</t>
  </si>
  <si>
    <t>雨山区</t>
  </si>
  <si>
    <t>当涂县</t>
  </si>
  <si>
    <t>杜集区</t>
  </si>
  <si>
    <t>相山区</t>
  </si>
  <si>
    <t>烈山区</t>
  </si>
  <si>
    <t>濉溪县</t>
  </si>
  <si>
    <t>铜官山区</t>
  </si>
  <si>
    <t>狮子山区</t>
  </si>
  <si>
    <t>铜陵县</t>
  </si>
  <si>
    <t>迎江区</t>
  </si>
  <si>
    <t>大观区</t>
  </si>
  <si>
    <t>怀宁县</t>
  </si>
  <si>
    <t>枞阳县</t>
  </si>
  <si>
    <t>潜山县</t>
  </si>
  <si>
    <t>太湖县</t>
  </si>
  <si>
    <t>宿松县</t>
  </si>
  <si>
    <t>望江县</t>
  </si>
  <si>
    <t>岳西县</t>
  </si>
  <si>
    <t>桐城市</t>
  </si>
  <si>
    <t>屯溪区</t>
  </si>
  <si>
    <t>黄山区</t>
  </si>
  <si>
    <t>徽州区</t>
  </si>
  <si>
    <t>歙县</t>
  </si>
  <si>
    <t>休宁县</t>
  </si>
  <si>
    <t>黟县</t>
  </si>
  <si>
    <t>祁门县</t>
  </si>
  <si>
    <t>琅琊区</t>
  </si>
  <si>
    <t>南谯区</t>
  </si>
  <si>
    <t>来安县</t>
  </si>
  <si>
    <t>全椒县</t>
  </si>
  <si>
    <t>定远县</t>
  </si>
  <si>
    <t>凤阳县</t>
  </si>
  <si>
    <t>天长市</t>
  </si>
  <si>
    <t>明光市</t>
  </si>
  <si>
    <t>颍州区</t>
  </si>
  <si>
    <t>颍东区</t>
  </si>
  <si>
    <t>颍泉区</t>
  </si>
  <si>
    <t>临泉县</t>
  </si>
  <si>
    <t>太和县</t>
  </si>
  <si>
    <t>阜南县</t>
  </si>
  <si>
    <t>颍上县</t>
  </si>
  <si>
    <t>界首市</t>
  </si>
  <si>
    <t>埇桥区</t>
  </si>
  <si>
    <t>砀山县</t>
  </si>
  <si>
    <t>萧县</t>
  </si>
  <si>
    <t>灵璧县</t>
  </si>
  <si>
    <t>泗县</t>
  </si>
  <si>
    <t>居巢区</t>
  </si>
  <si>
    <t>庐江县</t>
  </si>
  <si>
    <t>无为县</t>
  </si>
  <si>
    <t>含山县</t>
  </si>
  <si>
    <t>和县</t>
  </si>
  <si>
    <t>金安区</t>
  </si>
  <si>
    <t>裕安区</t>
  </si>
  <si>
    <t>寿县</t>
  </si>
  <si>
    <t>霍邱县</t>
  </si>
  <si>
    <t>舒城县</t>
  </si>
  <si>
    <t>金寨县</t>
  </si>
  <si>
    <t>霍山县</t>
  </si>
  <si>
    <t>谯城区</t>
  </si>
  <si>
    <t>涡阳县</t>
  </si>
  <si>
    <t>蒙城县</t>
  </si>
  <si>
    <t>利辛县</t>
  </si>
  <si>
    <t>贵池区</t>
  </si>
  <si>
    <t>东至县</t>
  </si>
  <si>
    <t>石台县</t>
  </si>
  <si>
    <t>青阳县</t>
  </si>
  <si>
    <t>宣州区</t>
  </si>
  <si>
    <t>郎溪县</t>
  </si>
  <si>
    <t>广德县</t>
  </si>
  <si>
    <t>泾县</t>
  </si>
  <si>
    <t>绩溪县</t>
  </si>
  <si>
    <t>旌德县</t>
  </si>
  <si>
    <t>宁国市</t>
  </si>
  <si>
    <t>台江区</t>
  </si>
  <si>
    <t>仓山区</t>
  </si>
  <si>
    <t>马尾区</t>
  </si>
  <si>
    <t>晋安区</t>
  </si>
  <si>
    <t>闽侯县</t>
  </si>
  <si>
    <t>连江县</t>
  </si>
  <si>
    <t>罗源县</t>
  </si>
  <si>
    <t>闽清县</t>
  </si>
  <si>
    <t>永泰县</t>
  </si>
  <si>
    <t>平潭县</t>
  </si>
  <si>
    <t>福清市</t>
  </si>
  <si>
    <t>长乐市</t>
  </si>
  <si>
    <t>思明区</t>
  </si>
  <si>
    <t>海沧区</t>
  </si>
  <si>
    <t>湖里区</t>
  </si>
  <si>
    <t>集美区</t>
  </si>
  <si>
    <t>同安区</t>
  </si>
  <si>
    <t>翔安区</t>
  </si>
  <si>
    <t>城厢区</t>
  </si>
  <si>
    <t>涵江区</t>
  </si>
  <si>
    <t>荔城区</t>
  </si>
  <si>
    <t>秀屿区</t>
  </si>
  <si>
    <t>仙游县</t>
  </si>
  <si>
    <t>梅列区</t>
  </si>
  <si>
    <t>三元区</t>
  </si>
  <si>
    <t>明溪县</t>
  </si>
  <si>
    <t>清流县</t>
  </si>
  <si>
    <t>宁化县</t>
  </si>
  <si>
    <t>大田县</t>
  </si>
  <si>
    <t>尤溪县</t>
  </si>
  <si>
    <t>沙县</t>
  </si>
  <si>
    <t>将乐县</t>
  </si>
  <si>
    <t>泰宁县</t>
  </si>
  <si>
    <t>建宁县</t>
  </si>
  <si>
    <t>永安市</t>
  </si>
  <si>
    <t>鲤城区</t>
  </si>
  <si>
    <t>丰泽区</t>
  </si>
  <si>
    <t>洛江区</t>
  </si>
  <si>
    <t>泉港区</t>
  </si>
  <si>
    <t>惠安县</t>
  </si>
  <si>
    <t>安溪县</t>
  </si>
  <si>
    <t>永春县</t>
  </si>
  <si>
    <t>德化县</t>
  </si>
  <si>
    <t>金门县</t>
  </si>
  <si>
    <t>石狮市</t>
  </si>
  <si>
    <t>晋江市</t>
  </si>
  <si>
    <t>南安市</t>
  </si>
  <si>
    <t>芗城区</t>
  </si>
  <si>
    <t>龙文区</t>
  </si>
  <si>
    <t>云霄县</t>
  </si>
  <si>
    <t>漳浦县</t>
  </si>
  <si>
    <t>诏安县</t>
  </si>
  <si>
    <t>长泰县</t>
  </si>
  <si>
    <t>东山县</t>
  </si>
  <si>
    <t>南靖县</t>
  </si>
  <si>
    <t>平和县</t>
  </si>
  <si>
    <t>华安县</t>
  </si>
  <si>
    <t>龙海市</t>
  </si>
  <si>
    <t>延平区</t>
  </si>
  <si>
    <t>顺昌县</t>
  </si>
  <si>
    <t>浦城县</t>
  </si>
  <si>
    <t>光泽县</t>
  </si>
  <si>
    <t>松溪县</t>
  </si>
  <si>
    <t>政和县</t>
  </si>
  <si>
    <t>邵武市</t>
  </si>
  <si>
    <t>武夷山市</t>
  </si>
  <si>
    <t>建瓯市</t>
  </si>
  <si>
    <t>建阳市</t>
  </si>
  <si>
    <t>新罗区</t>
  </si>
  <si>
    <t>长汀县</t>
  </si>
  <si>
    <t>永定县</t>
  </si>
  <si>
    <t>上杭县</t>
  </si>
  <si>
    <t>武平县</t>
  </si>
  <si>
    <t>连城县</t>
  </si>
  <si>
    <t>漳平市</t>
  </si>
  <si>
    <t>蕉城区</t>
  </si>
  <si>
    <t>霞浦县</t>
  </si>
  <si>
    <t>古田县</t>
  </si>
  <si>
    <t>屏南县</t>
  </si>
  <si>
    <t>寿宁县</t>
  </si>
  <si>
    <t>周宁县</t>
  </si>
  <si>
    <t>柘荣县</t>
  </si>
  <si>
    <t>福安市</t>
  </si>
  <si>
    <t>福鼎市</t>
  </si>
  <si>
    <t>东湖区</t>
  </si>
  <si>
    <t>青云谱区</t>
  </si>
  <si>
    <t>湾里区</t>
  </si>
  <si>
    <t>青山湖区</t>
  </si>
  <si>
    <t>南昌县</t>
  </si>
  <si>
    <t>新建县</t>
  </si>
  <si>
    <t>安义县</t>
  </si>
  <si>
    <t>进贤县</t>
  </si>
  <si>
    <t>昌江区</t>
  </si>
  <si>
    <t>珠山区</t>
  </si>
  <si>
    <t>浮梁县</t>
  </si>
  <si>
    <t>乐平市</t>
  </si>
  <si>
    <t>安源区</t>
  </si>
  <si>
    <t>湘东区</t>
  </si>
  <si>
    <t>莲花县</t>
  </si>
  <si>
    <t>上栗县</t>
  </si>
  <si>
    <t>芦溪县</t>
  </si>
  <si>
    <t>庐山区</t>
  </si>
  <si>
    <t>浔阳区</t>
  </si>
  <si>
    <t>九江县</t>
  </si>
  <si>
    <t>武宁县</t>
  </si>
  <si>
    <t>修水县</t>
  </si>
  <si>
    <t>永修县</t>
  </si>
  <si>
    <t>德安县</t>
  </si>
  <si>
    <t>星子县</t>
  </si>
  <si>
    <t>都昌县</t>
  </si>
  <si>
    <t>湖口县</t>
  </si>
  <si>
    <t>彭泽县</t>
  </si>
  <si>
    <t>瑞昌市</t>
  </si>
  <si>
    <t>渝水区</t>
  </si>
  <si>
    <t>分宜县</t>
  </si>
  <si>
    <t>月湖区</t>
  </si>
  <si>
    <t>余江县</t>
  </si>
  <si>
    <t>贵溪市</t>
  </si>
  <si>
    <t>章贡区</t>
  </si>
  <si>
    <t>赣县</t>
  </si>
  <si>
    <t>信丰县</t>
  </si>
  <si>
    <t>大余县</t>
  </si>
  <si>
    <t>上犹县</t>
  </si>
  <si>
    <t>崇义县</t>
  </si>
  <si>
    <t>安远县</t>
  </si>
  <si>
    <t>龙南县</t>
  </si>
  <si>
    <t>定南县</t>
  </si>
  <si>
    <t>全南县</t>
  </si>
  <si>
    <t>宁都县</t>
  </si>
  <si>
    <t>于都县</t>
  </si>
  <si>
    <t>兴国县</t>
  </si>
  <si>
    <t>会昌县</t>
  </si>
  <si>
    <t>寻乌县</t>
  </si>
  <si>
    <t>石城县</t>
  </si>
  <si>
    <t>瑞金市</t>
  </si>
  <si>
    <t>南康市</t>
  </si>
  <si>
    <t>吉州区</t>
  </si>
  <si>
    <t>青原区</t>
  </si>
  <si>
    <t>吉安县</t>
  </si>
  <si>
    <t>吉水县</t>
  </si>
  <si>
    <t>峡江县</t>
  </si>
  <si>
    <t>新干县</t>
  </si>
  <si>
    <t>永丰县</t>
  </si>
  <si>
    <t>泰和县</t>
  </si>
  <si>
    <t>遂川县</t>
  </si>
  <si>
    <t>万安县</t>
  </si>
  <si>
    <t>安福县</t>
  </si>
  <si>
    <t>永新县</t>
  </si>
  <si>
    <t>井冈山市</t>
  </si>
  <si>
    <t>袁州区</t>
  </si>
  <si>
    <t>奉新县</t>
  </si>
  <si>
    <t>万载县</t>
  </si>
  <si>
    <t>上高县</t>
  </si>
  <si>
    <t>宜丰县</t>
  </si>
  <si>
    <t>靖安县</t>
  </si>
  <si>
    <t>铜鼓县</t>
  </si>
  <si>
    <t>丰城市</t>
  </si>
  <si>
    <t>樟树市</t>
  </si>
  <si>
    <t>高安市</t>
  </si>
  <si>
    <t>临川区</t>
  </si>
  <si>
    <t>南城县</t>
  </si>
  <si>
    <t>黎川县</t>
  </si>
  <si>
    <t>南丰县</t>
  </si>
  <si>
    <t>崇仁县</t>
  </si>
  <si>
    <t>乐安县</t>
  </si>
  <si>
    <t>宜黄县</t>
  </si>
  <si>
    <t>金溪县</t>
  </si>
  <si>
    <t>资溪县</t>
  </si>
  <si>
    <t>东乡县</t>
  </si>
  <si>
    <t>广昌县</t>
  </si>
  <si>
    <t>信州区</t>
  </si>
  <si>
    <t>上饶县</t>
  </si>
  <si>
    <t>广丰县</t>
  </si>
  <si>
    <t>玉山县</t>
  </si>
  <si>
    <t>铅山县</t>
  </si>
  <si>
    <t>横峰县</t>
  </si>
  <si>
    <t>弋阳县</t>
  </si>
  <si>
    <t>余干县</t>
  </si>
  <si>
    <t>鄱阳县</t>
  </si>
  <si>
    <t>万年县</t>
  </si>
  <si>
    <t>婺源县</t>
  </si>
  <si>
    <t>德兴市</t>
  </si>
  <si>
    <t>历下区</t>
  </si>
  <si>
    <t>市中区</t>
  </si>
  <si>
    <t>槐荫区</t>
  </si>
  <si>
    <t>天桥区</t>
  </si>
  <si>
    <t>历城区</t>
  </si>
  <si>
    <t>长清区</t>
  </si>
  <si>
    <t>平阴县</t>
  </si>
  <si>
    <t>济阳县</t>
  </si>
  <si>
    <t>商河县</t>
  </si>
  <si>
    <t>章丘市</t>
  </si>
  <si>
    <t>市南区</t>
  </si>
  <si>
    <t>市北区</t>
  </si>
  <si>
    <t>四方区</t>
  </si>
  <si>
    <t>黄岛区</t>
  </si>
  <si>
    <t>崂山区</t>
  </si>
  <si>
    <t>李沧区</t>
  </si>
  <si>
    <t>城阳区</t>
  </si>
  <si>
    <t>胶州市</t>
  </si>
  <si>
    <t>即墨市</t>
  </si>
  <si>
    <t>平度市</t>
  </si>
  <si>
    <t>胶南市</t>
  </si>
  <si>
    <t>莱西市</t>
  </si>
  <si>
    <t>淄川区</t>
  </si>
  <si>
    <t>张店区</t>
  </si>
  <si>
    <t>博山区</t>
  </si>
  <si>
    <t>临淄区</t>
  </si>
  <si>
    <t>周村区</t>
  </si>
  <si>
    <t>桓台县</t>
  </si>
  <si>
    <t>高青县</t>
  </si>
  <si>
    <t>沂源县</t>
  </si>
  <si>
    <t>薛城区</t>
  </si>
  <si>
    <t>峄城区</t>
  </si>
  <si>
    <t>台儿庄区</t>
  </si>
  <si>
    <t>山亭区</t>
  </si>
  <si>
    <t>滕州市</t>
  </si>
  <si>
    <t>东营区</t>
  </si>
  <si>
    <t>河口区</t>
  </si>
  <si>
    <t>垦利县</t>
  </si>
  <si>
    <t>利津县</t>
  </si>
  <si>
    <t>广饶县</t>
  </si>
  <si>
    <t>芝罘区</t>
  </si>
  <si>
    <t>福山区</t>
  </si>
  <si>
    <t>牟平区</t>
  </si>
  <si>
    <t>莱山区</t>
  </si>
  <si>
    <t>长岛县</t>
  </si>
  <si>
    <t>龙口市</t>
  </si>
  <si>
    <t>莱阳市</t>
  </si>
  <si>
    <t>莱州市</t>
  </si>
  <si>
    <t>蓬莱市</t>
  </si>
  <si>
    <t>招远市</t>
  </si>
  <si>
    <t>栖霞市</t>
  </si>
  <si>
    <t>海阳市</t>
  </si>
  <si>
    <t>潍城区</t>
  </si>
  <si>
    <t>寒亭区</t>
  </si>
  <si>
    <t>坊子区</t>
  </si>
  <si>
    <t>奎文区</t>
  </si>
  <si>
    <t>临朐县</t>
  </si>
  <si>
    <t>昌乐县</t>
  </si>
  <si>
    <t>青州市</t>
  </si>
  <si>
    <t>诸城市</t>
  </si>
  <si>
    <t>寿光市</t>
  </si>
  <si>
    <t>安丘市</t>
  </si>
  <si>
    <t>高密市</t>
  </si>
  <si>
    <t>昌邑市</t>
  </si>
  <si>
    <t>任城区</t>
  </si>
  <si>
    <t>微山县</t>
  </si>
  <si>
    <t>鱼台县</t>
  </si>
  <si>
    <t>金乡县</t>
  </si>
  <si>
    <t>嘉祥县</t>
  </si>
  <si>
    <t>汶上县</t>
  </si>
  <si>
    <t>泗水县</t>
  </si>
  <si>
    <t>梁山县</t>
  </si>
  <si>
    <t>曲阜市</t>
  </si>
  <si>
    <t>兖州市</t>
  </si>
  <si>
    <t>邹城市</t>
  </si>
  <si>
    <t>泰山区</t>
  </si>
  <si>
    <t>岱岳区</t>
  </si>
  <si>
    <t>宁阳县</t>
  </si>
  <si>
    <t>东平县</t>
  </si>
  <si>
    <t>新泰市</t>
  </si>
  <si>
    <t>肥城市</t>
  </si>
  <si>
    <t>环翠区</t>
  </si>
  <si>
    <t>文登市</t>
  </si>
  <si>
    <t>荣成市</t>
  </si>
  <si>
    <t>乳山市</t>
  </si>
  <si>
    <t>东港区</t>
  </si>
  <si>
    <t>岚山区</t>
  </si>
  <si>
    <t>五莲县</t>
  </si>
  <si>
    <t>莒县</t>
  </si>
  <si>
    <t>莱城区</t>
  </si>
  <si>
    <t>钢城区</t>
  </si>
  <si>
    <t>兰山区</t>
  </si>
  <si>
    <t>罗庄区</t>
  </si>
  <si>
    <t>沂南县</t>
  </si>
  <si>
    <t>郯城县</t>
  </si>
  <si>
    <t>沂水县</t>
  </si>
  <si>
    <t>苍山县</t>
  </si>
  <si>
    <t>费县</t>
  </si>
  <si>
    <t>平邑县</t>
  </si>
  <si>
    <t>莒南县</t>
  </si>
  <si>
    <t>蒙阴县</t>
  </si>
  <si>
    <t>临沭县</t>
  </si>
  <si>
    <t>德城区</t>
  </si>
  <si>
    <t>陵县</t>
  </si>
  <si>
    <t>宁津县</t>
  </si>
  <si>
    <t>庆云县</t>
  </si>
  <si>
    <t>临邑县</t>
  </si>
  <si>
    <t>齐河县</t>
  </si>
  <si>
    <t>平原县</t>
  </si>
  <si>
    <t>夏津县</t>
  </si>
  <si>
    <t>武城县</t>
  </si>
  <si>
    <t>乐陵市</t>
  </si>
  <si>
    <t>禹城市</t>
  </si>
  <si>
    <t>东昌府区</t>
  </si>
  <si>
    <t>阳谷县</t>
  </si>
  <si>
    <t>莘县</t>
  </si>
  <si>
    <t>茌平县</t>
  </si>
  <si>
    <t>东阿县</t>
  </si>
  <si>
    <t>冠县</t>
  </si>
  <si>
    <t>高唐县</t>
  </si>
  <si>
    <t>临清市</t>
  </si>
  <si>
    <t>滨城区</t>
  </si>
  <si>
    <t>惠民县</t>
  </si>
  <si>
    <t>阳信县</t>
  </si>
  <si>
    <t>无棣县</t>
  </si>
  <si>
    <t>沾化县</t>
  </si>
  <si>
    <t>博兴县</t>
  </si>
  <si>
    <t>邹平县</t>
  </si>
  <si>
    <t>牡丹区</t>
  </si>
  <si>
    <t>曹县</t>
  </si>
  <si>
    <t>单县</t>
  </si>
  <si>
    <t>成武县</t>
  </si>
  <si>
    <t>巨野县</t>
  </si>
  <si>
    <t>郓城县</t>
  </si>
  <si>
    <t>鄄城县</t>
  </si>
  <si>
    <t>定陶县</t>
  </si>
  <si>
    <t>东明县</t>
  </si>
  <si>
    <t>中原区</t>
  </si>
  <si>
    <t>二七区</t>
  </si>
  <si>
    <t>管城回族区</t>
  </si>
  <si>
    <t>金水区</t>
  </si>
  <si>
    <t>上街区</t>
  </si>
  <si>
    <t>惠济区</t>
  </si>
  <si>
    <t>中牟县</t>
  </si>
  <si>
    <t>巩义市</t>
  </si>
  <si>
    <t>荥阳市</t>
  </si>
  <si>
    <t>新密市</t>
  </si>
  <si>
    <t>新郑市</t>
  </si>
  <si>
    <t>登封市</t>
  </si>
  <si>
    <t>龙亭区</t>
  </si>
  <si>
    <t>顺河回族区</t>
  </si>
  <si>
    <t>杞县</t>
  </si>
  <si>
    <t>通许县</t>
  </si>
  <si>
    <t>尉氏县</t>
  </si>
  <si>
    <t>开封县</t>
  </si>
  <si>
    <t>兰考县</t>
  </si>
  <si>
    <t>老城区</t>
  </si>
  <si>
    <t>西工区</t>
  </si>
  <si>
    <t>廛河回族区</t>
  </si>
  <si>
    <t>涧西区</t>
  </si>
  <si>
    <t>吉利区</t>
  </si>
  <si>
    <t>洛龙区</t>
  </si>
  <si>
    <t>孟津县</t>
  </si>
  <si>
    <t>新安县</t>
  </si>
  <si>
    <t>栾川县</t>
  </si>
  <si>
    <t>嵩县</t>
  </si>
  <si>
    <t>汝阳县</t>
  </si>
  <si>
    <t>宜阳县</t>
  </si>
  <si>
    <t>洛宁县</t>
  </si>
  <si>
    <t>伊川县</t>
  </si>
  <si>
    <t>偃师市</t>
  </si>
  <si>
    <t>卫东区</t>
  </si>
  <si>
    <t>石龙区</t>
  </si>
  <si>
    <t>湛河区</t>
  </si>
  <si>
    <t>宝丰县</t>
  </si>
  <si>
    <t>叶县</t>
  </si>
  <si>
    <t>鲁山县</t>
  </si>
  <si>
    <t>郏县</t>
  </si>
  <si>
    <t>舞钢市</t>
  </si>
  <si>
    <t>汝州市</t>
  </si>
  <si>
    <t>文峰区</t>
  </si>
  <si>
    <t>北关区</t>
  </si>
  <si>
    <t>殷都区</t>
  </si>
  <si>
    <t>龙安区</t>
  </si>
  <si>
    <t>安阳县</t>
  </si>
  <si>
    <t>汤阴县</t>
  </si>
  <si>
    <t>滑县</t>
  </si>
  <si>
    <t>内黄县</t>
  </si>
  <si>
    <t>林州市</t>
  </si>
  <si>
    <t>鹤山区</t>
  </si>
  <si>
    <t>山城区</t>
  </si>
  <si>
    <t>淇滨区</t>
  </si>
  <si>
    <t>浚县</t>
  </si>
  <si>
    <t>淇县</t>
  </si>
  <si>
    <t>红旗区</t>
  </si>
  <si>
    <t>卫滨区</t>
  </si>
  <si>
    <t>凤泉区</t>
  </si>
  <si>
    <t>牧野区</t>
  </si>
  <si>
    <t>新乡县</t>
  </si>
  <si>
    <t>获嘉县</t>
  </si>
  <si>
    <t>原阳县</t>
  </si>
  <si>
    <t>延津县</t>
  </si>
  <si>
    <t>封丘县</t>
  </si>
  <si>
    <t>长垣县</t>
  </si>
  <si>
    <t>卫辉市</t>
  </si>
  <si>
    <t>辉县市</t>
  </si>
  <si>
    <t>解放区</t>
  </si>
  <si>
    <t>中站区</t>
  </si>
  <si>
    <t>马村区</t>
  </si>
  <si>
    <t>山阳区</t>
  </si>
  <si>
    <t>修武县</t>
  </si>
  <si>
    <t>博爱县</t>
  </si>
  <si>
    <t>武陟县</t>
  </si>
  <si>
    <t>温县</t>
  </si>
  <si>
    <t>济源市</t>
  </si>
  <si>
    <t>沁阳市</t>
  </si>
  <si>
    <t>孟州市</t>
  </si>
  <si>
    <t>华龙区</t>
  </si>
  <si>
    <t>清丰县</t>
  </si>
  <si>
    <t>南乐县</t>
  </si>
  <si>
    <t>范县</t>
  </si>
  <si>
    <t>台前县</t>
  </si>
  <si>
    <t>濮阳县</t>
  </si>
  <si>
    <t>魏都区</t>
  </si>
  <si>
    <t>许昌县</t>
  </si>
  <si>
    <t>鄢陵县</t>
  </si>
  <si>
    <t>襄城县</t>
  </si>
  <si>
    <t>禹州市</t>
  </si>
  <si>
    <t>长葛市</t>
  </si>
  <si>
    <t>源汇区</t>
  </si>
  <si>
    <t>郾城区</t>
  </si>
  <si>
    <t>召陵区</t>
  </si>
  <si>
    <t>舞阳县</t>
  </si>
  <si>
    <t>临颍县</t>
  </si>
  <si>
    <t>市辖区</t>
  </si>
  <si>
    <t>湖滨区</t>
  </si>
  <si>
    <t>渑池县</t>
  </si>
  <si>
    <t>陕县</t>
  </si>
  <si>
    <t>卢氏县</t>
  </si>
  <si>
    <t>义马市</t>
  </si>
  <si>
    <t>灵宝市</t>
  </si>
  <si>
    <t>宛城区</t>
  </si>
  <si>
    <t>卧龙区</t>
  </si>
  <si>
    <t>南召县</t>
  </si>
  <si>
    <t>方城县</t>
  </si>
  <si>
    <t>西峡县</t>
  </si>
  <si>
    <t>镇平县</t>
  </si>
  <si>
    <t>内乡县</t>
  </si>
  <si>
    <t>淅川县</t>
  </si>
  <si>
    <t>社旗县</t>
  </si>
  <si>
    <t>唐河县</t>
  </si>
  <si>
    <t>新野县</t>
  </si>
  <si>
    <t>桐柏县</t>
  </si>
  <si>
    <t>邓州市</t>
  </si>
  <si>
    <t>梁园区</t>
  </si>
  <si>
    <t>睢阳区</t>
  </si>
  <si>
    <t>民权县</t>
  </si>
  <si>
    <t>睢县</t>
  </si>
  <si>
    <t>宁陵县</t>
  </si>
  <si>
    <t>柘城县</t>
  </si>
  <si>
    <t>虞城县</t>
  </si>
  <si>
    <t>夏邑县</t>
  </si>
  <si>
    <t>永城市</t>
  </si>
  <si>
    <t>浉河区</t>
  </si>
  <si>
    <t>平桥区</t>
  </si>
  <si>
    <t>罗山县</t>
  </si>
  <si>
    <t>光山县</t>
  </si>
  <si>
    <t>新县</t>
  </si>
  <si>
    <t>商城县</t>
  </si>
  <si>
    <t>固始县</t>
  </si>
  <si>
    <t>潢川县</t>
  </si>
  <si>
    <t>淮滨县</t>
  </si>
  <si>
    <t>息县</t>
  </si>
  <si>
    <t>川汇区</t>
  </si>
  <si>
    <t>扶沟县</t>
  </si>
  <si>
    <t>西华县</t>
  </si>
  <si>
    <t>商水县</t>
  </si>
  <si>
    <t>沈丘县</t>
  </si>
  <si>
    <t>郸城县</t>
  </si>
  <si>
    <t>淮阳县</t>
  </si>
  <si>
    <t>太康县</t>
  </si>
  <si>
    <t>鹿邑县</t>
  </si>
  <si>
    <t>项城市</t>
  </si>
  <si>
    <t>驿城区</t>
  </si>
  <si>
    <t>西平县</t>
  </si>
  <si>
    <t>上蔡县</t>
  </si>
  <si>
    <t>平舆县</t>
  </si>
  <si>
    <t>正阳县</t>
  </si>
  <si>
    <t>确山县</t>
  </si>
  <si>
    <t>泌阳县</t>
  </si>
  <si>
    <t>汝南县</t>
  </si>
  <si>
    <t>遂平县</t>
  </si>
  <si>
    <t>新蔡县</t>
  </si>
  <si>
    <t>江岸区</t>
  </si>
  <si>
    <t>江汉区</t>
  </si>
  <si>
    <t>硚口区</t>
  </si>
  <si>
    <t>汉阳区</t>
  </si>
  <si>
    <t>武昌区</t>
  </si>
  <si>
    <t>洪山区</t>
  </si>
  <si>
    <t>东西湖区</t>
  </si>
  <si>
    <t>汉南区</t>
  </si>
  <si>
    <t>蔡甸区</t>
  </si>
  <si>
    <t>江夏区</t>
  </si>
  <si>
    <t>黄陂区</t>
  </si>
  <si>
    <t>新洲区</t>
  </si>
  <si>
    <t>黄石港区</t>
  </si>
  <si>
    <t>西塞山区</t>
  </si>
  <si>
    <t>下陆区</t>
  </si>
  <si>
    <t>铁山区</t>
  </si>
  <si>
    <t>阳新县</t>
  </si>
  <si>
    <t>大冶市</t>
  </si>
  <si>
    <t>茅箭区</t>
  </si>
  <si>
    <t>张湾区</t>
  </si>
  <si>
    <t>郧县</t>
  </si>
  <si>
    <t>郧西县</t>
  </si>
  <si>
    <t>竹山县</t>
  </si>
  <si>
    <t>竹溪县</t>
  </si>
  <si>
    <t>房县</t>
  </si>
  <si>
    <t>丹江口市</t>
  </si>
  <si>
    <t>西陵区</t>
  </si>
  <si>
    <t>伍家岗区</t>
  </si>
  <si>
    <t>点军区</t>
  </si>
  <si>
    <t>猇亭区</t>
  </si>
  <si>
    <t>夷陵区</t>
  </si>
  <si>
    <t>远安县</t>
  </si>
  <si>
    <t>兴山县</t>
  </si>
  <si>
    <t>秭归县</t>
  </si>
  <si>
    <t>长阳土家族自治县</t>
  </si>
  <si>
    <t>五峰土家族自治县</t>
  </si>
  <si>
    <t>宜都市</t>
  </si>
  <si>
    <t>当阳市</t>
  </si>
  <si>
    <t>枝江市</t>
  </si>
  <si>
    <t>襄城区</t>
  </si>
  <si>
    <t>樊城区</t>
  </si>
  <si>
    <t>襄阳区</t>
  </si>
  <si>
    <t>南漳县</t>
  </si>
  <si>
    <t>谷城县</t>
  </si>
  <si>
    <t>保康县</t>
  </si>
  <si>
    <t>老河口市</t>
  </si>
  <si>
    <t>枣阳市</t>
  </si>
  <si>
    <t>宜城市</t>
  </si>
  <si>
    <t>梁子湖区</t>
  </si>
  <si>
    <t>华容区</t>
  </si>
  <si>
    <t>鄂城区</t>
  </si>
  <si>
    <t>东宝区</t>
  </si>
  <si>
    <t>掇刀区</t>
  </si>
  <si>
    <t>京山县</t>
  </si>
  <si>
    <t>沙洋县</t>
  </si>
  <si>
    <t>钟祥市</t>
  </si>
  <si>
    <t>孝南区</t>
  </si>
  <si>
    <t>孝昌县</t>
  </si>
  <si>
    <t>大悟县</t>
  </si>
  <si>
    <t>云梦县</t>
  </si>
  <si>
    <t>应城市</t>
  </si>
  <si>
    <t>安陆市</t>
  </si>
  <si>
    <t>汉川市</t>
  </si>
  <si>
    <t>沙市区</t>
  </si>
  <si>
    <t>荆州区</t>
  </si>
  <si>
    <t>公安县</t>
  </si>
  <si>
    <t>监利县</t>
  </si>
  <si>
    <t>江陵县</t>
  </si>
  <si>
    <t>石首市</t>
  </si>
  <si>
    <t>洪湖市</t>
  </si>
  <si>
    <t>松滋市</t>
  </si>
  <si>
    <t>黄州区</t>
  </si>
  <si>
    <t>团风县</t>
  </si>
  <si>
    <t>红安县</t>
  </si>
  <si>
    <t>罗田县</t>
  </si>
  <si>
    <t>英山县</t>
  </si>
  <si>
    <t>浠水县</t>
  </si>
  <si>
    <t>蕲春县</t>
  </si>
  <si>
    <t>黄梅县</t>
  </si>
  <si>
    <t>麻城市</t>
  </si>
  <si>
    <t>武穴市</t>
  </si>
  <si>
    <t>咸安区</t>
  </si>
  <si>
    <t>嘉鱼县</t>
  </si>
  <si>
    <t>通城县</t>
  </si>
  <si>
    <t>崇阳县</t>
  </si>
  <si>
    <t>通山县</t>
  </si>
  <si>
    <t>赤壁市</t>
  </si>
  <si>
    <t>曾都区</t>
  </si>
  <si>
    <t>广水市</t>
  </si>
  <si>
    <t>恩施市</t>
  </si>
  <si>
    <t>利川市</t>
  </si>
  <si>
    <t>建始县</t>
  </si>
  <si>
    <t>巴东县</t>
  </si>
  <si>
    <t>宣恩县</t>
  </si>
  <si>
    <t>咸丰县</t>
  </si>
  <si>
    <t>来凤县</t>
  </si>
  <si>
    <t>鹤峰县</t>
  </si>
  <si>
    <t>仙桃市</t>
  </si>
  <si>
    <t>潜江市</t>
  </si>
  <si>
    <t>天门市</t>
  </si>
  <si>
    <t>神农架林区</t>
  </si>
  <si>
    <t>芙蓉区</t>
  </si>
  <si>
    <t>天心区</t>
  </si>
  <si>
    <t>岳麓区</t>
  </si>
  <si>
    <t>开福区</t>
  </si>
  <si>
    <t>雨花区</t>
  </si>
  <si>
    <t>长沙县</t>
  </si>
  <si>
    <t>望城县</t>
  </si>
  <si>
    <t>宁乡县</t>
  </si>
  <si>
    <t>浏阳市</t>
  </si>
  <si>
    <t>荷塘区</t>
  </si>
  <si>
    <t>芦淞区</t>
  </si>
  <si>
    <t>石峰区</t>
  </si>
  <si>
    <t>天元区</t>
  </si>
  <si>
    <t>株洲县</t>
  </si>
  <si>
    <t>攸县</t>
  </si>
  <si>
    <t>茶陵县</t>
  </si>
  <si>
    <t>炎陵县</t>
  </si>
  <si>
    <t>醴陵市</t>
  </si>
  <si>
    <t>雨湖区</t>
  </si>
  <si>
    <t>岳塘区</t>
  </si>
  <si>
    <t>湘潭县</t>
  </si>
  <si>
    <t>湘乡市</t>
  </si>
  <si>
    <t>韶山市</t>
  </si>
  <si>
    <t>珠晖区</t>
  </si>
  <si>
    <t>雁峰区</t>
  </si>
  <si>
    <t>石鼓区</t>
  </si>
  <si>
    <t>蒸湘区</t>
  </si>
  <si>
    <t>南岳区</t>
  </si>
  <si>
    <t>衡阳县</t>
  </si>
  <si>
    <t>衡南县</t>
  </si>
  <si>
    <t>衡山县</t>
  </si>
  <si>
    <t>衡东县</t>
  </si>
  <si>
    <t>祁东县</t>
  </si>
  <si>
    <t>耒阳市</t>
  </si>
  <si>
    <t>常宁市</t>
  </si>
  <si>
    <t>双清区</t>
  </si>
  <si>
    <t>大祥区</t>
  </si>
  <si>
    <t>北塔区</t>
  </si>
  <si>
    <t>邵东县</t>
  </si>
  <si>
    <t>新邵县</t>
  </si>
  <si>
    <t>邵阳县</t>
  </si>
  <si>
    <t>隆回县</t>
  </si>
  <si>
    <t>洞口县</t>
  </si>
  <si>
    <t>绥宁县</t>
  </si>
  <si>
    <t>新宁县</t>
  </si>
  <si>
    <t>城步苗族自治县</t>
  </si>
  <si>
    <t>武冈市</t>
  </si>
  <si>
    <t>岳阳楼区</t>
  </si>
  <si>
    <t>云溪区</t>
  </si>
  <si>
    <t>君山区</t>
  </si>
  <si>
    <t>岳阳县</t>
  </si>
  <si>
    <t>华容县</t>
  </si>
  <si>
    <t>湘阴县</t>
  </si>
  <si>
    <t>平江县</t>
  </si>
  <si>
    <t>汨罗市</t>
  </si>
  <si>
    <t>临湘市</t>
  </si>
  <si>
    <t>武陵区</t>
  </si>
  <si>
    <t>鼎城区</t>
  </si>
  <si>
    <t>安乡县</t>
  </si>
  <si>
    <t>汉寿县</t>
  </si>
  <si>
    <t>澧县</t>
  </si>
  <si>
    <t>临澧县</t>
  </si>
  <si>
    <t>桃源县</t>
  </si>
  <si>
    <t>石门县</t>
  </si>
  <si>
    <t>津市市</t>
  </si>
  <si>
    <t>永定区</t>
  </si>
  <si>
    <t>武陵源区</t>
  </si>
  <si>
    <t>慈利县</t>
  </si>
  <si>
    <t>桑植县</t>
  </si>
  <si>
    <t>资阳区</t>
  </si>
  <si>
    <t>赫山区</t>
  </si>
  <si>
    <t>南县</t>
  </si>
  <si>
    <t>桃江县</t>
  </si>
  <si>
    <t>安化县</t>
  </si>
  <si>
    <t>沅江市</t>
  </si>
  <si>
    <t>北湖区</t>
  </si>
  <si>
    <t>苏仙区</t>
  </si>
  <si>
    <t>桂阳县</t>
  </si>
  <si>
    <t>宜章县</t>
  </si>
  <si>
    <t>永兴县</t>
  </si>
  <si>
    <t>嘉禾县</t>
  </si>
  <si>
    <t>临武县</t>
  </si>
  <si>
    <t>汝城县</t>
  </si>
  <si>
    <t>桂东县</t>
  </si>
  <si>
    <t>安仁县</t>
  </si>
  <si>
    <t>资兴市</t>
  </si>
  <si>
    <t>芝山区</t>
  </si>
  <si>
    <t>冷水滩区</t>
  </si>
  <si>
    <t>祁阳县</t>
  </si>
  <si>
    <t>东安县</t>
  </si>
  <si>
    <t>双牌县</t>
  </si>
  <si>
    <t>道县</t>
  </si>
  <si>
    <t>江永县</t>
  </si>
  <si>
    <t>宁远县</t>
  </si>
  <si>
    <t>蓝山县</t>
  </si>
  <si>
    <t>新田县</t>
  </si>
  <si>
    <t>江华瑶族自治县</t>
  </si>
  <si>
    <t>鹤城区</t>
  </si>
  <si>
    <t>中方县</t>
  </si>
  <si>
    <t>沅陵县</t>
  </si>
  <si>
    <t>辰溪县</t>
  </si>
  <si>
    <t>溆浦县</t>
  </si>
  <si>
    <t>会同县</t>
  </si>
  <si>
    <t>麻阳苗族自治县</t>
  </si>
  <si>
    <t>新晃侗族自治县</t>
  </si>
  <si>
    <t>芷江侗族自治县</t>
  </si>
  <si>
    <t>靖州苗族侗族自治县</t>
  </si>
  <si>
    <t>通道侗族自治县</t>
  </si>
  <si>
    <t>洪江市</t>
  </si>
  <si>
    <t>娄星区</t>
  </si>
  <si>
    <t>双峰县</t>
  </si>
  <si>
    <t>新化县</t>
  </si>
  <si>
    <t>冷水江市</t>
  </si>
  <si>
    <t>涟源市</t>
  </si>
  <si>
    <t>吉首市</t>
  </si>
  <si>
    <t>泸溪县</t>
  </si>
  <si>
    <t>凤凰县</t>
  </si>
  <si>
    <t>花垣县</t>
  </si>
  <si>
    <t>保靖县</t>
  </si>
  <si>
    <t>古丈县</t>
  </si>
  <si>
    <t>永顺县</t>
  </si>
  <si>
    <t>龙山县</t>
  </si>
  <si>
    <t>荔湾区</t>
  </si>
  <si>
    <t>越秀区</t>
  </si>
  <si>
    <t>海珠区</t>
  </si>
  <si>
    <t>天河区</t>
  </si>
  <si>
    <t>芳村区</t>
  </si>
  <si>
    <t>白云区</t>
  </si>
  <si>
    <t>黄埔区</t>
  </si>
  <si>
    <t>番禺区</t>
  </si>
  <si>
    <t>花都区</t>
  </si>
  <si>
    <t>增城市</t>
  </si>
  <si>
    <t>从化市</t>
  </si>
  <si>
    <t>武江区</t>
  </si>
  <si>
    <t>浈江区</t>
  </si>
  <si>
    <t>曲江区</t>
  </si>
  <si>
    <t>始兴县</t>
  </si>
  <si>
    <t>仁化县</t>
  </si>
  <si>
    <t>翁源县</t>
  </si>
  <si>
    <t>乳源瑶族自治县</t>
  </si>
  <si>
    <t>新丰县</t>
  </si>
  <si>
    <t>乐昌市</t>
  </si>
  <si>
    <t>南雄市</t>
  </si>
  <si>
    <t>罗湖区</t>
  </si>
  <si>
    <t>福田区</t>
  </si>
  <si>
    <t>宝安区</t>
  </si>
  <si>
    <t>龙岗区</t>
  </si>
  <si>
    <t>盐田区</t>
  </si>
  <si>
    <t>香洲区</t>
  </si>
  <si>
    <t>斗门区</t>
  </si>
  <si>
    <t>金湾区</t>
  </si>
  <si>
    <t>龙湖区</t>
  </si>
  <si>
    <t>金平区</t>
  </si>
  <si>
    <t>濠江区</t>
  </si>
  <si>
    <t>潮阳区</t>
  </si>
  <si>
    <t>潮南区</t>
  </si>
  <si>
    <t>澄海区</t>
  </si>
  <si>
    <t>南澳县</t>
  </si>
  <si>
    <t>禅城区</t>
  </si>
  <si>
    <t>南海区</t>
  </si>
  <si>
    <t>顺德区</t>
  </si>
  <si>
    <t>三水区</t>
  </si>
  <si>
    <t>高明区</t>
  </si>
  <si>
    <t>蓬江区</t>
  </si>
  <si>
    <t>江海区</t>
  </si>
  <si>
    <t>新会区</t>
  </si>
  <si>
    <t>台山市</t>
  </si>
  <si>
    <t>开平市</t>
  </si>
  <si>
    <t>鹤山市</t>
  </si>
  <si>
    <t>恩平市</t>
  </si>
  <si>
    <t>赤坎区</t>
  </si>
  <si>
    <t>霞山区</t>
  </si>
  <si>
    <t>坡头区</t>
  </si>
  <si>
    <t>麻章区</t>
  </si>
  <si>
    <t>遂溪县</t>
  </si>
  <si>
    <t>徐闻县</t>
  </si>
  <si>
    <t>廉江市</t>
  </si>
  <si>
    <t>雷州市</t>
  </si>
  <si>
    <t>吴川市</t>
  </si>
  <si>
    <t>茂南区</t>
  </si>
  <si>
    <t>茂港区</t>
  </si>
  <si>
    <t>电白县</t>
  </si>
  <si>
    <t>高州市</t>
  </si>
  <si>
    <t>化州市</t>
  </si>
  <si>
    <t>信宜市</t>
  </si>
  <si>
    <t>端州区</t>
  </si>
  <si>
    <t>鼎湖区</t>
  </si>
  <si>
    <t>广宁县</t>
  </si>
  <si>
    <t>怀集县</t>
  </si>
  <si>
    <t>封开县</t>
  </si>
  <si>
    <t>德庆县</t>
  </si>
  <si>
    <t>高要市</t>
  </si>
  <si>
    <t>四会市</t>
  </si>
  <si>
    <t>惠城区</t>
  </si>
  <si>
    <t>惠阳区</t>
  </si>
  <si>
    <t>博罗县</t>
  </si>
  <si>
    <t>惠东县</t>
  </si>
  <si>
    <t>龙门县</t>
  </si>
  <si>
    <t>梅江区</t>
  </si>
  <si>
    <t>梅县</t>
  </si>
  <si>
    <t>大埔县</t>
  </si>
  <si>
    <t>丰顺县</t>
  </si>
  <si>
    <t>五华县</t>
  </si>
  <si>
    <t>平远县</t>
  </si>
  <si>
    <t>蕉岭县</t>
  </si>
  <si>
    <t>兴宁市</t>
  </si>
  <si>
    <t>海丰县</t>
  </si>
  <si>
    <t>陆河县</t>
  </si>
  <si>
    <t>陆丰市</t>
  </si>
  <si>
    <t>源城区</t>
  </si>
  <si>
    <t>紫金县</t>
  </si>
  <si>
    <t>龙川县</t>
  </si>
  <si>
    <t>连平县</t>
  </si>
  <si>
    <t>和平县</t>
  </si>
  <si>
    <t>东源县</t>
  </si>
  <si>
    <t>江城区</t>
  </si>
  <si>
    <t>阳西县</t>
  </si>
  <si>
    <t>阳东县</t>
  </si>
  <si>
    <t>阳春市</t>
  </si>
  <si>
    <t>清城区</t>
  </si>
  <si>
    <t>佛冈县</t>
  </si>
  <si>
    <t>阳山县</t>
  </si>
  <si>
    <t>连山壮族瑶族自治县</t>
  </si>
  <si>
    <t>连南瑶族自治县</t>
  </si>
  <si>
    <t>清新县</t>
  </si>
  <si>
    <t>英德市</t>
  </si>
  <si>
    <t>连州市</t>
  </si>
  <si>
    <t>湘桥区</t>
  </si>
  <si>
    <t>潮安县</t>
  </si>
  <si>
    <t>饶平县</t>
  </si>
  <si>
    <t>榕城区</t>
  </si>
  <si>
    <t>揭东县</t>
  </si>
  <si>
    <t>揭西县</t>
  </si>
  <si>
    <t>惠来县</t>
  </si>
  <si>
    <t>普宁市</t>
  </si>
  <si>
    <t>云城区</t>
  </si>
  <si>
    <t>新兴县</t>
  </si>
  <si>
    <t>郁南县</t>
  </si>
  <si>
    <t>云安县</t>
  </si>
  <si>
    <t>罗定市</t>
  </si>
  <si>
    <t>兴宁区</t>
  </si>
  <si>
    <t>青秀区</t>
  </si>
  <si>
    <t>江南区</t>
  </si>
  <si>
    <t>西乡塘区</t>
  </si>
  <si>
    <t>良庆区</t>
  </si>
  <si>
    <t>邕宁区</t>
  </si>
  <si>
    <t>武鸣县</t>
  </si>
  <si>
    <t>隆安县</t>
  </si>
  <si>
    <t>马山县</t>
  </si>
  <si>
    <t>上林县</t>
  </si>
  <si>
    <t>宾阳县</t>
  </si>
  <si>
    <t>横县</t>
  </si>
  <si>
    <t>城中区</t>
  </si>
  <si>
    <t>鱼峰区</t>
  </si>
  <si>
    <t>柳南区</t>
  </si>
  <si>
    <t>柳北区</t>
  </si>
  <si>
    <t>柳江县</t>
  </si>
  <si>
    <t>柳城县</t>
  </si>
  <si>
    <t>鹿寨县</t>
  </si>
  <si>
    <t>融安县</t>
  </si>
  <si>
    <t>融水苗族自治县</t>
  </si>
  <si>
    <t>三江侗族自治县</t>
  </si>
  <si>
    <t>秀峰区</t>
  </si>
  <si>
    <t>叠彩区</t>
  </si>
  <si>
    <t>象山区</t>
  </si>
  <si>
    <t>七星区</t>
  </si>
  <si>
    <t>雁山区</t>
  </si>
  <si>
    <t>阳朔县</t>
  </si>
  <si>
    <t>临桂县</t>
  </si>
  <si>
    <t>灵川县</t>
  </si>
  <si>
    <t>全州县</t>
  </si>
  <si>
    <t>兴安县</t>
  </si>
  <si>
    <t>永福县</t>
  </si>
  <si>
    <t>灌阳县</t>
  </si>
  <si>
    <t>龙胜各族自治县</t>
  </si>
  <si>
    <t>资源县</t>
  </si>
  <si>
    <t>平乐县</t>
  </si>
  <si>
    <t>荔蒲县</t>
  </si>
  <si>
    <t>恭城瑶族自治县</t>
  </si>
  <si>
    <t>万秀区</t>
  </si>
  <si>
    <t>蝶山区</t>
  </si>
  <si>
    <t>长洲区</t>
  </si>
  <si>
    <t>苍梧县</t>
  </si>
  <si>
    <t>藤县</t>
  </si>
  <si>
    <t>蒙山县</t>
  </si>
  <si>
    <t>岑溪市</t>
  </si>
  <si>
    <t>海城区</t>
  </si>
  <si>
    <t>银海区</t>
  </si>
  <si>
    <t>铁山港区</t>
  </si>
  <si>
    <t>合浦县</t>
  </si>
  <si>
    <t>港口区</t>
  </si>
  <si>
    <t>防城区</t>
  </si>
  <si>
    <t>上思县</t>
  </si>
  <si>
    <t>东兴市</t>
  </si>
  <si>
    <t>钦南区</t>
  </si>
  <si>
    <t>钦北区</t>
  </si>
  <si>
    <t>灵山县</t>
  </si>
  <si>
    <t>浦北县</t>
  </si>
  <si>
    <t>港北区</t>
  </si>
  <si>
    <t>港南区</t>
  </si>
  <si>
    <t>覃塘区</t>
  </si>
  <si>
    <t>平南县</t>
  </si>
  <si>
    <t>桂平市</t>
  </si>
  <si>
    <t>玉州区</t>
  </si>
  <si>
    <t>容县</t>
  </si>
  <si>
    <t>陆川县</t>
  </si>
  <si>
    <t>博白县</t>
  </si>
  <si>
    <t>兴业县</t>
  </si>
  <si>
    <t>北流市</t>
  </si>
  <si>
    <t>右江区</t>
  </si>
  <si>
    <t>田阳县</t>
  </si>
  <si>
    <t>田东县</t>
  </si>
  <si>
    <t>平果县</t>
  </si>
  <si>
    <t>德保县</t>
  </si>
  <si>
    <t>靖西县</t>
  </si>
  <si>
    <t>那坡县</t>
  </si>
  <si>
    <t>凌云县</t>
  </si>
  <si>
    <t>乐业县</t>
  </si>
  <si>
    <t>田林县</t>
  </si>
  <si>
    <t>西林县</t>
  </si>
  <si>
    <t>隆林各族自治县</t>
  </si>
  <si>
    <t>八步区</t>
  </si>
  <si>
    <t>昭平县</t>
  </si>
  <si>
    <t>钟山县</t>
  </si>
  <si>
    <t>富川瑶族自治县</t>
  </si>
  <si>
    <t>金城江区</t>
  </si>
  <si>
    <t>南丹县</t>
  </si>
  <si>
    <t>天峨县</t>
  </si>
  <si>
    <t>凤山县</t>
  </si>
  <si>
    <t>东兰县</t>
  </si>
  <si>
    <t>罗城仫佬族自治县</t>
  </si>
  <si>
    <t>环江毛南族自治县</t>
  </si>
  <si>
    <t>巴马瑶族自治县</t>
  </si>
  <si>
    <t>都安瑶族自治县</t>
  </si>
  <si>
    <t>大化瑶族自治县</t>
  </si>
  <si>
    <t>宜州市</t>
  </si>
  <si>
    <t>兴宾区</t>
  </si>
  <si>
    <t>忻城县</t>
  </si>
  <si>
    <t>象州县</t>
  </si>
  <si>
    <t>武宣县</t>
  </si>
  <si>
    <t>金秀瑶族自治县</t>
  </si>
  <si>
    <t>合山市</t>
  </si>
  <si>
    <t>江洲区</t>
  </si>
  <si>
    <t>扶绥县</t>
  </si>
  <si>
    <t>宁明县</t>
  </si>
  <si>
    <t>龙州县</t>
  </si>
  <si>
    <t>大新县</t>
  </si>
  <si>
    <t>天等县</t>
  </si>
  <si>
    <t>凭祥市</t>
  </si>
  <si>
    <t>秀英区</t>
  </si>
  <si>
    <t>龙华区</t>
  </si>
  <si>
    <t>琼山区</t>
  </si>
  <si>
    <t>美兰区</t>
  </si>
  <si>
    <t>五指山市</t>
  </si>
  <si>
    <t>琼海市</t>
  </si>
  <si>
    <t>儋州市</t>
  </si>
  <si>
    <t>文昌市</t>
  </si>
  <si>
    <t>万宁市</t>
  </si>
  <si>
    <t>东方市</t>
  </si>
  <si>
    <t>定安县</t>
  </si>
  <si>
    <t>屯昌县</t>
  </si>
  <si>
    <t>澄迈县</t>
  </si>
  <si>
    <t>临高县</t>
  </si>
  <si>
    <t>白沙黎族自治县</t>
  </si>
  <si>
    <t>昌江黎族自治县</t>
  </si>
  <si>
    <t>乐东黎族自治县</t>
  </si>
  <si>
    <t>陵水黎族自治县</t>
  </si>
  <si>
    <t>保亭黎族苗族自治县</t>
  </si>
  <si>
    <t>琼中黎族苗族自治县</t>
  </si>
  <si>
    <t>西沙群岛</t>
  </si>
  <si>
    <t>南沙群岛</t>
  </si>
  <si>
    <t>中沙群岛的岛礁及其海域</t>
  </si>
  <si>
    <t>万州区</t>
  </si>
  <si>
    <t>涪陵区</t>
  </si>
  <si>
    <t>渝中区</t>
  </si>
  <si>
    <t>大渡口区</t>
  </si>
  <si>
    <t>沙坪坝区</t>
  </si>
  <si>
    <t>九龙坡区</t>
  </si>
  <si>
    <t>南岸区</t>
  </si>
  <si>
    <t>北碚区</t>
  </si>
  <si>
    <t>万盛区</t>
  </si>
  <si>
    <t>渝北区</t>
  </si>
  <si>
    <t>巴南区</t>
  </si>
  <si>
    <t>黔江区</t>
  </si>
  <si>
    <t>长寿区</t>
  </si>
  <si>
    <t>綦江县</t>
  </si>
  <si>
    <t>潼南县</t>
  </si>
  <si>
    <t>铜梁县</t>
  </si>
  <si>
    <t>大足县</t>
  </si>
  <si>
    <t>荣昌县</t>
  </si>
  <si>
    <t>璧山县</t>
  </si>
  <si>
    <t>梁平县</t>
  </si>
  <si>
    <t>城口县</t>
  </si>
  <si>
    <t>丰都县</t>
  </si>
  <si>
    <t>垫江县</t>
  </si>
  <si>
    <t>武隆县</t>
  </si>
  <si>
    <t>忠县</t>
  </si>
  <si>
    <t>开县</t>
  </si>
  <si>
    <t>云阳县</t>
  </si>
  <si>
    <t>奉节县</t>
  </si>
  <si>
    <t>巫山县</t>
  </si>
  <si>
    <t>巫溪县</t>
  </si>
  <si>
    <t>石柱土家族自治县</t>
  </si>
  <si>
    <t>秀山土家族苗族自治县</t>
  </si>
  <si>
    <t>酉阳土家族苗族自治县</t>
  </si>
  <si>
    <t>彭水苗族土家族自治县</t>
  </si>
  <si>
    <t>江津市</t>
  </si>
  <si>
    <t>合川市</t>
  </si>
  <si>
    <t>永川市</t>
  </si>
  <si>
    <t>南川市</t>
  </si>
  <si>
    <t>锦江区</t>
  </si>
  <si>
    <t>青羊区</t>
  </si>
  <si>
    <t>金牛区</t>
  </si>
  <si>
    <t>武侯区</t>
  </si>
  <si>
    <t>成华区</t>
  </si>
  <si>
    <t>龙泉驿区</t>
  </si>
  <si>
    <t>青白江区</t>
  </si>
  <si>
    <t>新都区</t>
  </si>
  <si>
    <t>温江区</t>
  </si>
  <si>
    <t>金堂县</t>
  </si>
  <si>
    <t>郫县</t>
  </si>
  <si>
    <t>大邑县</t>
  </si>
  <si>
    <t>蒲江县</t>
  </si>
  <si>
    <t>新津县</t>
  </si>
  <si>
    <t>都江堰市</t>
  </si>
  <si>
    <t>彭州市</t>
  </si>
  <si>
    <t>邛崃市</t>
  </si>
  <si>
    <t>崇州市</t>
  </si>
  <si>
    <t>自流井区</t>
  </si>
  <si>
    <t>贡井区</t>
  </si>
  <si>
    <t>大安区</t>
  </si>
  <si>
    <t>沿滩区</t>
  </si>
  <si>
    <t>荣县</t>
  </si>
  <si>
    <t>富顺县</t>
  </si>
  <si>
    <t>东区</t>
  </si>
  <si>
    <t>西区</t>
  </si>
  <si>
    <t>仁和区</t>
  </si>
  <si>
    <t>米易县</t>
  </si>
  <si>
    <t>盐边县</t>
  </si>
  <si>
    <t>江阳区</t>
  </si>
  <si>
    <t>纳溪区</t>
  </si>
  <si>
    <t>龙马潭区</t>
  </si>
  <si>
    <t>泸县</t>
  </si>
  <si>
    <t>合江县</t>
  </si>
  <si>
    <t>叙永县</t>
  </si>
  <si>
    <t>古蔺县</t>
  </si>
  <si>
    <t>旌阳区</t>
  </si>
  <si>
    <t>中江县</t>
  </si>
  <si>
    <t>罗江县</t>
  </si>
  <si>
    <t>广汉市</t>
  </si>
  <si>
    <t>什邡市</t>
  </si>
  <si>
    <t>绵竹市</t>
  </si>
  <si>
    <t>涪城区</t>
  </si>
  <si>
    <t>游仙区</t>
  </si>
  <si>
    <t>三台县</t>
  </si>
  <si>
    <t>盐亭县</t>
  </si>
  <si>
    <t>安县</t>
  </si>
  <si>
    <t>梓潼县</t>
  </si>
  <si>
    <t>北川羌族自治县</t>
  </si>
  <si>
    <t>平武县</t>
  </si>
  <si>
    <t>江油市</t>
  </si>
  <si>
    <t>元坝区</t>
  </si>
  <si>
    <t>朝天区</t>
  </si>
  <si>
    <t>旺苍县</t>
  </si>
  <si>
    <t>青川县</t>
  </si>
  <si>
    <t>剑阁县</t>
  </si>
  <si>
    <t>苍溪县</t>
  </si>
  <si>
    <t>船山区</t>
  </si>
  <si>
    <t>安居区</t>
  </si>
  <si>
    <t>蓬溪县</t>
  </si>
  <si>
    <t>射洪县</t>
  </si>
  <si>
    <t>东兴区</t>
  </si>
  <si>
    <t>威远县</t>
  </si>
  <si>
    <t>资中县</t>
  </si>
  <si>
    <t>隆昌县</t>
  </si>
  <si>
    <t>沙湾区</t>
  </si>
  <si>
    <t>五通桥区</t>
  </si>
  <si>
    <t>金口河区</t>
  </si>
  <si>
    <t>犍为县</t>
  </si>
  <si>
    <t>井研县</t>
  </si>
  <si>
    <t>夹江县</t>
  </si>
  <si>
    <t>沐川县</t>
  </si>
  <si>
    <t>峨边彝族自治县</t>
  </si>
  <si>
    <t>马边彝族自治县</t>
  </si>
  <si>
    <t>峨眉山市</t>
  </si>
  <si>
    <t>顺庆区</t>
  </si>
  <si>
    <t>高坪区</t>
  </si>
  <si>
    <t>嘉陵区</t>
  </si>
  <si>
    <t>南部县</t>
  </si>
  <si>
    <t>营山县</t>
  </si>
  <si>
    <t>蓬安县</t>
  </si>
  <si>
    <t>仪陇县</t>
  </si>
  <si>
    <t>西充县</t>
  </si>
  <si>
    <t>阆中市</t>
  </si>
  <si>
    <t>东坡区</t>
  </si>
  <si>
    <t>仁寿县</t>
  </si>
  <si>
    <t>彭山县</t>
  </si>
  <si>
    <t>洪雅县</t>
  </si>
  <si>
    <t>丹棱县</t>
  </si>
  <si>
    <t>青神县</t>
  </si>
  <si>
    <t>翠屏区</t>
  </si>
  <si>
    <t>宜宾县</t>
  </si>
  <si>
    <t>南溪县</t>
  </si>
  <si>
    <t>江安县</t>
  </si>
  <si>
    <t>长宁县</t>
  </si>
  <si>
    <t>高县</t>
  </si>
  <si>
    <t>珙县</t>
  </si>
  <si>
    <t>筠连县</t>
  </si>
  <si>
    <t>兴文县</t>
  </si>
  <si>
    <t>屏山县</t>
  </si>
  <si>
    <t>广安区</t>
  </si>
  <si>
    <t>岳池县</t>
  </si>
  <si>
    <t>武胜县</t>
  </si>
  <si>
    <t>邻水县</t>
  </si>
  <si>
    <t>华蓥市</t>
  </si>
  <si>
    <t>通川区</t>
  </si>
  <si>
    <t>达县</t>
  </si>
  <si>
    <t>宣汉县</t>
  </si>
  <si>
    <t>开江县</t>
  </si>
  <si>
    <t>大竹县</t>
  </si>
  <si>
    <t>渠县</t>
  </si>
  <si>
    <t>万源市</t>
  </si>
  <si>
    <t>雨城区</t>
  </si>
  <si>
    <t>名山县</t>
  </si>
  <si>
    <t>荥经县</t>
  </si>
  <si>
    <t>汉源县</t>
  </si>
  <si>
    <t>石棉县</t>
  </si>
  <si>
    <t>天全县</t>
  </si>
  <si>
    <t>芦山县</t>
  </si>
  <si>
    <t>宝兴县</t>
  </si>
  <si>
    <t>巴州区</t>
  </si>
  <si>
    <t>通江县</t>
  </si>
  <si>
    <t>南江县</t>
  </si>
  <si>
    <t>平昌县</t>
  </si>
  <si>
    <t>雁江区</t>
  </si>
  <si>
    <t>安岳县</t>
  </si>
  <si>
    <t>乐至县</t>
  </si>
  <si>
    <t>简阳市</t>
  </si>
  <si>
    <t>汶川县</t>
  </si>
  <si>
    <t>理县</t>
  </si>
  <si>
    <t>茂县</t>
  </si>
  <si>
    <t>松潘县</t>
  </si>
  <si>
    <t>九寨沟县</t>
  </si>
  <si>
    <t>金川县</t>
  </si>
  <si>
    <t>小金县</t>
  </si>
  <si>
    <t>黑水县</t>
  </si>
  <si>
    <t>马尔康县</t>
  </si>
  <si>
    <t>壤塘县</t>
  </si>
  <si>
    <t>阿坝县</t>
  </si>
  <si>
    <t>若尔盖县</t>
  </si>
  <si>
    <t>红原县</t>
  </si>
  <si>
    <t>康定县</t>
  </si>
  <si>
    <t>泸定县</t>
  </si>
  <si>
    <t>丹巴县</t>
  </si>
  <si>
    <t>九龙县</t>
  </si>
  <si>
    <t>雅江县</t>
  </si>
  <si>
    <t>道孚县</t>
  </si>
  <si>
    <t>炉霍县</t>
  </si>
  <si>
    <t>甘孜县</t>
  </si>
  <si>
    <t>新龙县</t>
  </si>
  <si>
    <t>德格县</t>
  </si>
  <si>
    <t>白玉县</t>
  </si>
  <si>
    <t>石渠县</t>
  </si>
  <si>
    <t>色达县</t>
  </si>
  <si>
    <t>理塘县</t>
  </si>
  <si>
    <t>巴塘县</t>
  </si>
  <si>
    <t>乡城县</t>
  </si>
  <si>
    <t>稻城县</t>
  </si>
  <si>
    <t>得荣县</t>
  </si>
  <si>
    <t>西昌市</t>
  </si>
  <si>
    <t>木里藏族自治县</t>
  </si>
  <si>
    <t>盐源县</t>
  </si>
  <si>
    <t>德昌县</t>
  </si>
  <si>
    <t>会理县</t>
  </si>
  <si>
    <t>会东县</t>
  </si>
  <si>
    <t>宁南县</t>
  </si>
  <si>
    <t>普格县</t>
  </si>
  <si>
    <t>布拖县</t>
  </si>
  <si>
    <t>金阳县</t>
  </si>
  <si>
    <t>昭觉县</t>
  </si>
  <si>
    <t>喜德县</t>
  </si>
  <si>
    <t>冕宁县</t>
  </si>
  <si>
    <t>越西县</t>
  </si>
  <si>
    <t>甘洛县</t>
  </si>
  <si>
    <t>美姑县</t>
  </si>
  <si>
    <t>雷波县</t>
  </si>
  <si>
    <t>南明区</t>
  </si>
  <si>
    <t>云岩区</t>
  </si>
  <si>
    <t>花溪区</t>
  </si>
  <si>
    <t>乌当区</t>
  </si>
  <si>
    <t>小河区</t>
  </si>
  <si>
    <t>开阳县</t>
  </si>
  <si>
    <t>息烽县</t>
  </si>
  <si>
    <t>修文县</t>
  </si>
  <si>
    <t>清镇市</t>
  </si>
  <si>
    <t>钟山区</t>
  </si>
  <si>
    <t>六枝特区</t>
  </si>
  <si>
    <t>水城县</t>
  </si>
  <si>
    <t>盘县</t>
  </si>
  <si>
    <t>红花岗区</t>
  </si>
  <si>
    <t>汇川区</t>
  </si>
  <si>
    <t>遵义县</t>
  </si>
  <si>
    <t>桐梓县</t>
  </si>
  <si>
    <t>绥阳县</t>
  </si>
  <si>
    <t>正安县</t>
  </si>
  <si>
    <t>道真仡佬族苗族自治县</t>
  </si>
  <si>
    <t>务川仡佬族苗族自治县</t>
  </si>
  <si>
    <t>凤冈县</t>
  </si>
  <si>
    <t>湄潭县</t>
  </si>
  <si>
    <t>余庆县</t>
  </si>
  <si>
    <t>习水县</t>
  </si>
  <si>
    <t>赤水市</t>
  </si>
  <si>
    <t>仁怀市</t>
  </si>
  <si>
    <t>西秀区</t>
  </si>
  <si>
    <t>平坝县</t>
  </si>
  <si>
    <t>普定县</t>
  </si>
  <si>
    <t>镇宁布依族苗族自治县</t>
  </si>
  <si>
    <t>关岭布依族苗族自治县</t>
  </si>
  <si>
    <t>紫云苗族布依族自治县</t>
  </si>
  <si>
    <t>铜仁市</t>
  </si>
  <si>
    <t>江口县</t>
  </si>
  <si>
    <t>玉屏侗族自治县</t>
  </si>
  <si>
    <t>石阡县</t>
  </si>
  <si>
    <t>思南县</t>
  </si>
  <si>
    <t>印江土家族苗族自治县</t>
  </si>
  <si>
    <t>德江县</t>
  </si>
  <si>
    <t>沿河土家族自治县</t>
  </si>
  <si>
    <t>松桃苗族自治县</t>
  </si>
  <si>
    <t>万山特区</t>
  </si>
  <si>
    <t>兴义市</t>
  </si>
  <si>
    <t>兴仁县</t>
  </si>
  <si>
    <t>普安县</t>
  </si>
  <si>
    <t>晴隆县</t>
  </si>
  <si>
    <t>贞丰县</t>
  </si>
  <si>
    <t>望谟县</t>
  </si>
  <si>
    <t>册亨县</t>
  </si>
  <si>
    <t>安龙县</t>
  </si>
  <si>
    <t>毕节市</t>
  </si>
  <si>
    <t>大方县</t>
  </si>
  <si>
    <t>黔西县</t>
  </si>
  <si>
    <t>金沙县</t>
  </si>
  <si>
    <t>织金县</t>
  </si>
  <si>
    <t>纳雍县</t>
  </si>
  <si>
    <t>威宁彝族回族苗族自治县</t>
  </si>
  <si>
    <t>赫章县</t>
  </si>
  <si>
    <t>凯里市</t>
  </si>
  <si>
    <t>黄平县</t>
  </si>
  <si>
    <t>施秉县</t>
  </si>
  <si>
    <t>三穗县</t>
  </si>
  <si>
    <t>镇远县</t>
  </si>
  <si>
    <t>岑巩县</t>
  </si>
  <si>
    <t>天柱县</t>
  </si>
  <si>
    <t>锦屏县</t>
  </si>
  <si>
    <t>剑河县</t>
  </si>
  <si>
    <t>台江县</t>
  </si>
  <si>
    <t>黎平县</t>
  </si>
  <si>
    <t>榕江县</t>
  </si>
  <si>
    <t>从江县</t>
  </si>
  <si>
    <t>雷山县</t>
  </si>
  <si>
    <t>麻江县</t>
  </si>
  <si>
    <t>丹寨县</t>
  </si>
  <si>
    <t>都匀市</t>
  </si>
  <si>
    <t>福泉市</t>
  </si>
  <si>
    <t>荔波县</t>
  </si>
  <si>
    <t>贵定县</t>
  </si>
  <si>
    <t>瓮安县</t>
  </si>
  <si>
    <t>独山县</t>
  </si>
  <si>
    <t>平塘县</t>
  </si>
  <si>
    <t>罗甸县</t>
  </si>
  <si>
    <t>长顺县</t>
  </si>
  <si>
    <t>龙里县</t>
  </si>
  <si>
    <t>惠水县</t>
  </si>
  <si>
    <t>三都水族自治县</t>
  </si>
  <si>
    <t>五华区</t>
  </si>
  <si>
    <t>盘龙区</t>
  </si>
  <si>
    <t>官渡区</t>
  </si>
  <si>
    <t>西山区</t>
  </si>
  <si>
    <t>东川区</t>
  </si>
  <si>
    <t>呈贡县</t>
  </si>
  <si>
    <t>晋宁县</t>
  </si>
  <si>
    <t>富民县</t>
  </si>
  <si>
    <t>宜良县</t>
  </si>
  <si>
    <t>石林彝族自治县</t>
  </si>
  <si>
    <t>嵩明县</t>
  </si>
  <si>
    <t>禄劝彝族苗族自治县</t>
  </si>
  <si>
    <t>寻甸回族彝族自治县</t>
  </si>
  <si>
    <t>安宁市</t>
  </si>
  <si>
    <t>麒麟区</t>
  </si>
  <si>
    <t>马龙县</t>
  </si>
  <si>
    <t>陆良县</t>
  </si>
  <si>
    <t>师宗县</t>
  </si>
  <si>
    <t>罗平县</t>
  </si>
  <si>
    <t>富源县</t>
  </si>
  <si>
    <t>会泽县</t>
  </si>
  <si>
    <t>沾益县</t>
  </si>
  <si>
    <t>宣威市</t>
  </si>
  <si>
    <t>红塔区</t>
  </si>
  <si>
    <t>江川县</t>
  </si>
  <si>
    <t>澄江县</t>
  </si>
  <si>
    <t>通海县</t>
  </si>
  <si>
    <t>华宁县</t>
  </si>
  <si>
    <t>易门县</t>
  </si>
  <si>
    <t>峨山彝族自治县</t>
  </si>
  <si>
    <t>新平彝族傣族自治县</t>
  </si>
  <si>
    <t>元江哈尼族彝族傣族自治县</t>
  </si>
  <si>
    <t>隆阳区</t>
  </si>
  <si>
    <t>施甸县</t>
  </si>
  <si>
    <t>腾冲县</t>
  </si>
  <si>
    <t>龙陵县</t>
  </si>
  <si>
    <t>昌宁县</t>
  </si>
  <si>
    <t>昭阳区</t>
  </si>
  <si>
    <t>鲁甸县</t>
  </si>
  <si>
    <t>巧家县</t>
  </si>
  <si>
    <t>盐津县</t>
  </si>
  <si>
    <t>大关县</t>
  </si>
  <si>
    <t>永善县</t>
  </si>
  <si>
    <t>绥江县</t>
  </si>
  <si>
    <t>镇雄县</t>
  </si>
  <si>
    <t>彝良县</t>
  </si>
  <si>
    <t>威信县</t>
  </si>
  <si>
    <t>水富县</t>
  </si>
  <si>
    <t>古城区</t>
  </si>
  <si>
    <t>玉龙纳西族自治县</t>
  </si>
  <si>
    <t>永胜县</t>
  </si>
  <si>
    <t>华坪县</t>
  </si>
  <si>
    <t>宁蒗彝族自治县</t>
  </si>
  <si>
    <t>翠云区</t>
  </si>
  <si>
    <t>普洱哈尼族彝族自治县</t>
  </si>
  <si>
    <t>墨江哈尼族自治县</t>
  </si>
  <si>
    <t>景东彝族自治县</t>
  </si>
  <si>
    <t>景谷傣族彝族自治县</t>
  </si>
  <si>
    <t>镇沅彝族哈尼族拉祜族自治县</t>
  </si>
  <si>
    <t>江城哈尼族彝族自治县</t>
  </si>
  <si>
    <t>孟连傣族拉祜族佤族自治县</t>
  </si>
  <si>
    <t>澜沧拉祜族自治县</t>
  </si>
  <si>
    <t>西盟佤族自治县</t>
  </si>
  <si>
    <t>临翔区</t>
  </si>
  <si>
    <t>凤庆县</t>
  </si>
  <si>
    <t>云县</t>
  </si>
  <si>
    <t>永德县</t>
  </si>
  <si>
    <t>镇康县</t>
  </si>
  <si>
    <t>双江拉祜族佤族布朗族傣族自治县</t>
  </si>
  <si>
    <t>耿马傣族佤族自治县</t>
  </si>
  <si>
    <t>沧源佤族自治县</t>
  </si>
  <si>
    <t>楚雄市</t>
  </si>
  <si>
    <t>双柏县</t>
  </si>
  <si>
    <t>牟定县</t>
  </si>
  <si>
    <t>南华县</t>
  </si>
  <si>
    <t>姚安县</t>
  </si>
  <si>
    <t>大姚县</t>
  </si>
  <si>
    <t>永仁县</t>
  </si>
  <si>
    <t>元谋县</t>
  </si>
  <si>
    <t>武定县</t>
  </si>
  <si>
    <t>禄丰县</t>
  </si>
  <si>
    <t>个旧市</t>
  </si>
  <si>
    <t>开远市</t>
  </si>
  <si>
    <t>蒙自县</t>
  </si>
  <si>
    <t>屏边苗族自治县</t>
  </si>
  <si>
    <t>建水县</t>
  </si>
  <si>
    <t>石屏县</t>
  </si>
  <si>
    <t>弥勒县</t>
  </si>
  <si>
    <t>泸西县</t>
  </si>
  <si>
    <t>元阳县</t>
  </si>
  <si>
    <t>红河县</t>
  </si>
  <si>
    <t>金平苗族瑶族傣族自治县</t>
  </si>
  <si>
    <t>绿春县</t>
  </si>
  <si>
    <t>河口瑶族自治县</t>
  </si>
  <si>
    <t>文山县</t>
  </si>
  <si>
    <t>砚山县</t>
  </si>
  <si>
    <t>西畴县</t>
  </si>
  <si>
    <t>麻栗坡县</t>
  </si>
  <si>
    <t>马关县</t>
  </si>
  <si>
    <t>丘北县</t>
  </si>
  <si>
    <t>广南县</t>
  </si>
  <si>
    <t>富宁县</t>
  </si>
  <si>
    <t>景洪市</t>
  </si>
  <si>
    <t>勐海县</t>
  </si>
  <si>
    <t>勐腊县</t>
  </si>
  <si>
    <t>大理市</t>
  </si>
  <si>
    <t>漾濞彝族自治县</t>
  </si>
  <si>
    <t>祥云县</t>
  </si>
  <si>
    <t>宾川县</t>
  </si>
  <si>
    <t>弥渡县</t>
  </si>
  <si>
    <t>南涧彝族自治县</t>
  </si>
  <si>
    <t>巍山彝族回族自治县</t>
  </si>
  <si>
    <t>永平县</t>
  </si>
  <si>
    <t>云龙县</t>
  </si>
  <si>
    <t>洱源县</t>
  </si>
  <si>
    <t>剑川县</t>
  </si>
  <si>
    <t>鹤庆县</t>
  </si>
  <si>
    <t>瑞丽市</t>
  </si>
  <si>
    <t>潞西市</t>
  </si>
  <si>
    <t>梁河县</t>
  </si>
  <si>
    <t>盈江县</t>
  </si>
  <si>
    <t>陇川县</t>
  </si>
  <si>
    <t>泸水县</t>
  </si>
  <si>
    <t>福贡县</t>
  </si>
  <si>
    <t>贡山独龙族怒族自治县</t>
  </si>
  <si>
    <t>兰坪白族普米族自治县</t>
  </si>
  <si>
    <t>香格里拉县</t>
  </si>
  <si>
    <t>德钦县</t>
  </si>
  <si>
    <t>维西傈僳族自治县</t>
  </si>
  <si>
    <t>城关区</t>
  </si>
  <si>
    <t>林周县</t>
  </si>
  <si>
    <t>当雄县</t>
  </si>
  <si>
    <t>尼木县</t>
  </si>
  <si>
    <t>曲水县</t>
  </si>
  <si>
    <t>堆龙德庆县</t>
  </si>
  <si>
    <t>达孜县</t>
  </si>
  <si>
    <t>墨竹工卡县</t>
  </si>
  <si>
    <t>昌都县</t>
  </si>
  <si>
    <t>江达县</t>
  </si>
  <si>
    <t>贡觉县</t>
  </si>
  <si>
    <t>类乌齐县</t>
  </si>
  <si>
    <t>丁青县</t>
  </si>
  <si>
    <t>察雅县</t>
  </si>
  <si>
    <t>八宿县</t>
  </si>
  <si>
    <t>左贡县</t>
  </si>
  <si>
    <t>芒康县</t>
  </si>
  <si>
    <t>洛隆县</t>
  </si>
  <si>
    <t>边坝县</t>
  </si>
  <si>
    <t>乃东县</t>
  </si>
  <si>
    <t>扎囊县</t>
  </si>
  <si>
    <t>贡嘎县</t>
  </si>
  <si>
    <t>桑日县</t>
  </si>
  <si>
    <t>琼结县</t>
  </si>
  <si>
    <t>曲松县</t>
  </si>
  <si>
    <t>措美县</t>
  </si>
  <si>
    <t>洛扎县</t>
  </si>
  <si>
    <t>加查县</t>
  </si>
  <si>
    <t>隆子县</t>
  </si>
  <si>
    <t>错那县</t>
  </si>
  <si>
    <t>浪卡子县</t>
  </si>
  <si>
    <t>日喀则市</t>
  </si>
  <si>
    <t>南木林县</t>
  </si>
  <si>
    <t>江孜县</t>
  </si>
  <si>
    <t>定日县</t>
  </si>
  <si>
    <t>萨迦县</t>
  </si>
  <si>
    <t>拉孜县</t>
  </si>
  <si>
    <t>昂仁县</t>
  </si>
  <si>
    <t>谢通门县</t>
  </si>
  <si>
    <t>白朗县</t>
  </si>
  <si>
    <t>仁布县</t>
  </si>
  <si>
    <t>康马县</t>
  </si>
  <si>
    <t>定结县</t>
  </si>
  <si>
    <t>仲巴县</t>
  </si>
  <si>
    <t>亚东县</t>
  </si>
  <si>
    <t>吉隆县</t>
  </si>
  <si>
    <t>聂拉木县</t>
  </si>
  <si>
    <t>萨嘎县</t>
  </si>
  <si>
    <t>岗巴县</t>
  </si>
  <si>
    <t>那曲县</t>
  </si>
  <si>
    <t>嘉黎县</t>
  </si>
  <si>
    <t>比如县</t>
  </si>
  <si>
    <t>聂荣县</t>
  </si>
  <si>
    <t>安多县</t>
  </si>
  <si>
    <t>申扎县</t>
  </si>
  <si>
    <t>索县</t>
  </si>
  <si>
    <t>班戈县</t>
  </si>
  <si>
    <t>巴青县</t>
  </si>
  <si>
    <t>尼玛县</t>
  </si>
  <si>
    <t>普兰县</t>
  </si>
  <si>
    <t>札达县</t>
  </si>
  <si>
    <t>噶尔县</t>
  </si>
  <si>
    <t>日土县</t>
  </si>
  <si>
    <t>革吉县</t>
  </si>
  <si>
    <t>改则县</t>
  </si>
  <si>
    <t>措勤县</t>
  </si>
  <si>
    <t>林芝县</t>
  </si>
  <si>
    <t>工布江达县</t>
  </si>
  <si>
    <t>米林县</t>
  </si>
  <si>
    <t>墨脱县</t>
  </si>
  <si>
    <t>波密县</t>
  </si>
  <si>
    <t>察隅县</t>
  </si>
  <si>
    <t>朗县</t>
  </si>
  <si>
    <t>碑林区</t>
  </si>
  <si>
    <t>莲湖区</t>
  </si>
  <si>
    <t>灞桥区</t>
  </si>
  <si>
    <t>未央区</t>
  </si>
  <si>
    <t>雁塔区</t>
  </si>
  <si>
    <t>阎良区</t>
  </si>
  <si>
    <t>临潼区</t>
  </si>
  <si>
    <t>蓝田县</t>
  </si>
  <si>
    <t>周至县</t>
  </si>
  <si>
    <t>户县</t>
  </si>
  <si>
    <t>高陵县</t>
  </si>
  <si>
    <t>王益区</t>
  </si>
  <si>
    <t>印台区</t>
  </si>
  <si>
    <t>耀州区</t>
  </si>
  <si>
    <t>宜君县</t>
  </si>
  <si>
    <t>渭滨区</t>
  </si>
  <si>
    <t>金台区</t>
  </si>
  <si>
    <t>陈仓区</t>
  </si>
  <si>
    <t>凤翔县</t>
  </si>
  <si>
    <t>岐山县</t>
  </si>
  <si>
    <t>扶风县</t>
  </si>
  <si>
    <t>眉县</t>
  </si>
  <si>
    <t>陇县</t>
  </si>
  <si>
    <t>千阳县</t>
  </si>
  <si>
    <t>麟游县</t>
  </si>
  <si>
    <t>凤县</t>
  </si>
  <si>
    <t>太白县</t>
  </si>
  <si>
    <t>秦都区</t>
  </si>
  <si>
    <t>杨凌区</t>
  </si>
  <si>
    <t>渭城区</t>
  </si>
  <si>
    <t>三原县</t>
  </si>
  <si>
    <t>泾阳县</t>
  </si>
  <si>
    <t>乾县</t>
  </si>
  <si>
    <t>礼泉县</t>
  </si>
  <si>
    <t>永寿县</t>
  </si>
  <si>
    <t>彬县</t>
  </si>
  <si>
    <t>长武县</t>
  </si>
  <si>
    <t>旬邑县</t>
  </si>
  <si>
    <t>淳化县</t>
  </si>
  <si>
    <t>武功县</t>
  </si>
  <si>
    <t>兴平市</t>
  </si>
  <si>
    <t>临渭区</t>
  </si>
  <si>
    <t>华县</t>
  </si>
  <si>
    <t>潼关县</t>
  </si>
  <si>
    <t>大荔县</t>
  </si>
  <si>
    <t>合阳县</t>
  </si>
  <si>
    <t>澄城县</t>
  </si>
  <si>
    <t>蒲城县</t>
  </si>
  <si>
    <t>白水县</t>
  </si>
  <si>
    <t>富平县</t>
  </si>
  <si>
    <t>韩城市</t>
  </si>
  <si>
    <t>华阴市</t>
  </si>
  <si>
    <t>宝塔区</t>
  </si>
  <si>
    <t>延长县</t>
  </si>
  <si>
    <t>延川县</t>
  </si>
  <si>
    <t>子长县</t>
  </si>
  <si>
    <t>安塞县</t>
  </si>
  <si>
    <t>志丹县</t>
  </si>
  <si>
    <t>吴旗县</t>
  </si>
  <si>
    <t>甘泉县</t>
  </si>
  <si>
    <t>富县</t>
  </si>
  <si>
    <t>洛川县</t>
  </si>
  <si>
    <t>宜川县</t>
  </si>
  <si>
    <t>黄龙县</t>
  </si>
  <si>
    <t>黄陵县</t>
  </si>
  <si>
    <t>汉台区</t>
  </si>
  <si>
    <t>南郑县</t>
  </si>
  <si>
    <t>城固县</t>
  </si>
  <si>
    <t>洋县</t>
  </si>
  <si>
    <t>西乡县</t>
  </si>
  <si>
    <t>勉县</t>
  </si>
  <si>
    <t>宁强县</t>
  </si>
  <si>
    <t>略阳县</t>
  </si>
  <si>
    <t>镇巴县</t>
  </si>
  <si>
    <t>留坝县</t>
  </si>
  <si>
    <t>佛坪县</t>
  </si>
  <si>
    <t>榆阳区</t>
  </si>
  <si>
    <t>神木县</t>
  </si>
  <si>
    <t>府谷县</t>
  </si>
  <si>
    <t>横山县</t>
  </si>
  <si>
    <t>靖边县</t>
  </si>
  <si>
    <t>定边县</t>
  </si>
  <si>
    <t>绥德县</t>
  </si>
  <si>
    <t>米脂县</t>
  </si>
  <si>
    <t>佳县</t>
  </si>
  <si>
    <t>吴堡县</t>
  </si>
  <si>
    <t>清涧县</t>
  </si>
  <si>
    <t>子洲县</t>
  </si>
  <si>
    <t>汉滨区</t>
  </si>
  <si>
    <t>汉阴县</t>
  </si>
  <si>
    <t>石泉县</t>
  </si>
  <si>
    <t>宁陕县</t>
  </si>
  <si>
    <t>紫阳县</t>
  </si>
  <si>
    <t>岚皋县</t>
  </si>
  <si>
    <t>平利县</t>
  </si>
  <si>
    <t>镇坪县</t>
  </si>
  <si>
    <t>旬阳县</t>
  </si>
  <si>
    <t>白河县</t>
  </si>
  <si>
    <t>商州区</t>
  </si>
  <si>
    <t>洛南县</t>
  </si>
  <si>
    <t>丹凤县</t>
  </si>
  <si>
    <t>商南县</t>
  </si>
  <si>
    <t>山阳县</t>
  </si>
  <si>
    <t>镇安县</t>
  </si>
  <si>
    <t>柞水县</t>
  </si>
  <si>
    <t>七里河区</t>
  </si>
  <si>
    <t>西固区</t>
  </si>
  <si>
    <t>安宁区</t>
  </si>
  <si>
    <t>红古区</t>
  </si>
  <si>
    <t>永登县</t>
  </si>
  <si>
    <t>皋兰县</t>
  </si>
  <si>
    <t>榆中县</t>
  </si>
  <si>
    <t>金川区</t>
  </si>
  <si>
    <t>永昌县</t>
  </si>
  <si>
    <t>白银区</t>
  </si>
  <si>
    <t>平川区</t>
  </si>
  <si>
    <t>靖远县</t>
  </si>
  <si>
    <t>会宁县</t>
  </si>
  <si>
    <t>景泰县</t>
  </si>
  <si>
    <t>秦城区</t>
  </si>
  <si>
    <t>北道区</t>
  </si>
  <si>
    <t>清水县</t>
  </si>
  <si>
    <t>秦安县</t>
  </si>
  <si>
    <t>甘谷县</t>
  </si>
  <si>
    <t>武山县</t>
  </si>
  <si>
    <t>张家川回族自治县</t>
  </si>
  <si>
    <t>凉州区</t>
  </si>
  <si>
    <t>民勤县</t>
  </si>
  <si>
    <t>古浪县</t>
  </si>
  <si>
    <t>天祝藏族自治县</t>
  </si>
  <si>
    <t>甘州区</t>
  </si>
  <si>
    <t>肃南裕固族自治县</t>
  </si>
  <si>
    <t>民乐县</t>
  </si>
  <si>
    <t>临泽县</t>
  </si>
  <si>
    <t>高台县</t>
  </si>
  <si>
    <t>山丹县</t>
  </si>
  <si>
    <t>崆峒区</t>
  </si>
  <si>
    <t>泾川县</t>
  </si>
  <si>
    <t>灵台县</t>
  </si>
  <si>
    <t>崇信县</t>
  </si>
  <si>
    <t>华亭县</t>
  </si>
  <si>
    <t>庄浪县</t>
  </si>
  <si>
    <t>静宁县</t>
  </si>
  <si>
    <t>肃州区</t>
  </si>
  <si>
    <t>金塔县</t>
  </si>
  <si>
    <t>安西县</t>
  </si>
  <si>
    <t>肃北蒙古族自治县</t>
  </si>
  <si>
    <t>阿克塞哈萨克族自治县</t>
  </si>
  <si>
    <t>玉门市</t>
  </si>
  <si>
    <t>敦煌市</t>
  </si>
  <si>
    <t>西峰区</t>
  </si>
  <si>
    <t>庆城县</t>
  </si>
  <si>
    <t>环县</t>
  </si>
  <si>
    <t>华池县</t>
  </si>
  <si>
    <t>合水县</t>
  </si>
  <si>
    <t>正宁县</t>
  </si>
  <si>
    <t>宁县</t>
  </si>
  <si>
    <t>镇原县</t>
  </si>
  <si>
    <t>安定区</t>
  </si>
  <si>
    <t>通渭县</t>
  </si>
  <si>
    <t>陇西县</t>
  </si>
  <si>
    <t>渭源县</t>
  </si>
  <si>
    <t>临洮县</t>
  </si>
  <si>
    <t>漳县</t>
  </si>
  <si>
    <t>岷县</t>
  </si>
  <si>
    <t>武都区</t>
  </si>
  <si>
    <t>成县</t>
  </si>
  <si>
    <t>文县</t>
  </si>
  <si>
    <t>宕昌县</t>
  </si>
  <si>
    <t>康县</t>
  </si>
  <si>
    <t>西和县</t>
  </si>
  <si>
    <t>礼县</t>
  </si>
  <si>
    <t>徽县</t>
  </si>
  <si>
    <t>两当县</t>
  </si>
  <si>
    <t>临夏市</t>
  </si>
  <si>
    <t>临夏县</t>
  </si>
  <si>
    <t>康乐县</t>
  </si>
  <si>
    <t>永靖县</t>
  </si>
  <si>
    <t>广河县</t>
  </si>
  <si>
    <t>和政县</t>
  </si>
  <si>
    <t>东乡族自治县</t>
  </si>
  <si>
    <t>积石山保安族东乡族撒拉族自治县</t>
  </si>
  <si>
    <t>合作市</t>
  </si>
  <si>
    <t>临潭县</t>
  </si>
  <si>
    <t>卓尼县</t>
  </si>
  <si>
    <t>舟曲县</t>
  </si>
  <si>
    <t>迭部县</t>
  </si>
  <si>
    <t>玛曲县</t>
  </si>
  <si>
    <t>碌曲县</t>
  </si>
  <si>
    <t>夏河县</t>
  </si>
  <si>
    <t>城东区</t>
  </si>
  <si>
    <t>城西区</t>
  </si>
  <si>
    <t>城北区</t>
  </si>
  <si>
    <t>大通回族土族自治县</t>
  </si>
  <si>
    <t>湟中县</t>
  </si>
  <si>
    <t>湟源县</t>
  </si>
  <si>
    <t>平安县</t>
  </si>
  <si>
    <t>民和回族土族自治县</t>
  </si>
  <si>
    <t>乐都县</t>
  </si>
  <si>
    <t>互助土族自治县</t>
  </si>
  <si>
    <t>化隆回族自治县</t>
  </si>
  <si>
    <t>循化撒拉族自治县</t>
  </si>
  <si>
    <t>门源回族自治县</t>
  </si>
  <si>
    <t>祁连县</t>
  </si>
  <si>
    <t>海晏县</t>
  </si>
  <si>
    <t>刚察县</t>
  </si>
  <si>
    <t>同仁县</t>
  </si>
  <si>
    <t>尖扎县</t>
  </si>
  <si>
    <t>泽库县</t>
  </si>
  <si>
    <t>河南蒙古族自治县</t>
  </si>
  <si>
    <t>共和县</t>
  </si>
  <si>
    <t>同德县</t>
  </si>
  <si>
    <t>贵德县</t>
  </si>
  <si>
    <t>兴海县</t>
  </si>
  <si>
    <t>贵南县</t>
  </si>
  <si>
    <t>玛沁县</t>
  </si>
  <si>
    <t>班玛县</t>
  </si>
  <si>
    <t>甘德县</t>
  </si>
  <si>
    <t>达日县</t>
  </si>
  <si>
    <t>久治县</t>
  </si>
  <si>
    <t>玛多县</t>
  </si>
  <si>
    <t>玉树县</t>
  </si>
  <si>
    <t>杂多县</t>
  </si>
  <si>
    <t>称多县</t>
  </si>
  <si>
    <t>治多县</t>
  </si>
  <si>
    <t>囊谦县</t>
  </si>
  <si>
    <t>曲麻莱县</t>
  </si>
  <si>
    <t>格尔木市</t>
  </si>
  <si>
    <t>德令哈市</t>
  </si>
  <si>
    <t>乌兰县</t>
  </si>
  <si>
    <t>都兰县</t>
  </si>
  <si>
    <t>天峻县</t>
  </si>
  <si>
    <t>兴庆区</t>
  </si>
  <si>
    <t>西夏区</t>
  </si>
  <si>
    <t>金凤区</t>
  </si>
  <si>
    <t>永宁县</t>
  </si>
  <si>
    <t>贺兰县</t>
  </si>
  <si>
    <t>灵武市</t>
  </si>
  <si>
    <t>大武口区</t>
  </si>
  <si>
    <t>惠农区</t>
  </si>
  <si>
    <t>平罗县</t>
  </si>
  <si>
    <t>利通区</t>
  </si>
  <si>
    <t>盐池县</t>
  </si>
  <si>
    <t>同心县</t>
  </si>
  <si>
    <t>青铜峡市</t>
  </si>
  <si>
    <t>原州区</t>
  </si>
  <si>
    <t>西吉县</t>
  </si>
  <si>
    <t>隆德县</t>
  </si>
  <si>
    <t>泾源县</t>
  </si>
  <si>
    <t>彭阳县</t>
  </si>
  <si>
    <t>沙坡头区</t>
  </si>
  <si>
    <t>中宁县</t>
  </si>
  <si>
    <t>海原县</t>
  </si>
  <si>
    <t>天山区</t>
  </si>
  <si>
    <t>沙依巴克区</t>
  </si>
  <si>
    <t>水磨沟区</t>
  </si>
  <si>
    <t>头屯河区</t>
  </si>
  <si>
    <t>达坂城区</t>
  </si>
  <si>
    <t>乌鲁木齐县</t>
  </si>
  <si>
    <t>独山子区</t>
  </si>
  <si>
    <t>克拉玛依区</t>
  </si>
  <si>
    <t>白碱滩区</t>
  </si>
  <si>
    <t>乌尔禾区</t>
  </si>
  <si>
    <t>吐鲁番市</t>
  </si>
  <si>
    <t>鄯善县</t>
  </si>
  <si>
    <t>托克逊县</t>
  </si>
  <si>
    <t>哈密市</t>
  </si>
  <si>
    <t>巴里坤哈萨克自治县</t>
  </si>
  <si>
    <t>伊吾县</t>
  </si>
  <si>
    <t>昌吉市</t>
  </si>
  <si>
    <t>阜康市</t>
  </si>
  <si>
    <t>米泉市</t>
  </si>
  <si>
    <t>呼图壁县</t>
  </si>
  <si>
    <t>玛纳斯县</t>
  </si>
  <si>
    <t>奇台县</t>
  </si>
  <si>
    <t>吉木萨尔县</t>
  </si>
  <si>
    <t>木垒哈萨克自治县</t>
  </si>
  <si>
    <t>博乐市</t>
  </si>
  <si>
    <t>精河县</t>
  </si>
  <si>
    <t>温泉县</t>
  </si>
  <si>
    <t>库尔勒市</t>
  </si>
  <si>
    <t>轮台县</t>
  </si>
  <si>
    <t>尉犁县</t>
  </si>
  <si>
    <t>若羌县</t>
  </si>
  <si>
    <t>且末县</t>
  </si>
  <si>
    <t>焉耆回族自治县</t>
  </si>
  <si>
    <t>和静县</t>
  </si>
  <si>
    <t>和硕县</t>
  </si>
  <si>
    <t>博湖县</t>
  </si>
  <si>
    <t>阿克苏市</t>
  </si>
  <si>
    <t>温宿县</t>
  </si>
  <si>
    <t>库车县</t>
  </si>
  <si>
    <t>沙雅县</t>
  </si>
  <si>
    <t>新和县</t>
  </si>
  <si>
    <t>拜城县</t>
  </si>
  <si>
    <t>乌什县</t>
  </si>
  <si>
    <t>阿瓦提县</t>
  </si>
  <si>
    <t>柯坪县</t>
  </si>
  <si>
    <t>阿图什市</t>
  </si>
  <si>
    <t>阿克陶县</t>
  </si>
  <si>
    <t>阿合奇县</t>
  </si>
  <si>
    <t>乌恰县</t>
  </si>
  <si>
    <t>喀什市</t>
  </si>
  <si>
    <t>疏附县</t>
  </si>
  <si>
    <t>疏勒县</t>
  </si>
  <si>
    <t>英吉沙县</t>
  </si>
  <si>
    <t>泽普县</t>
  </si>
  <si>
    <t>莎车县</t>
  </si>
  <si>
    <t>叶城县</t>
  </si>
  <si>
    <t>麦盖提县</t>
  </si>
  <si>
    <t>岳普湖县</t>
  </si>
  <si>
    <t>伽师县</t>
  </si>
  <si>
    <t>巴楚县</t>
  </si>
  <si>
    <t>塔什库尔干塔吉克自治县</t>
  </si>
  <si>
    <t>和田市</t>
  </si>
  <si>
    <t>和田县</t>
  </si>
  <si>
    <t>墨玉县</t>
  </si>
  <si>
    <t>皮山县</t>
  </si>
  <si>
    <t>洛浦县</t>
  </si>
  <si>
    <t>策勒县</t>
  </si>
  <si>
    <t>于田县</t>
  </si>
  <si>
    <t>民丰县</t>
  </si>
  <si>
    <t>伊宁市</t>
  </si>
  <si>
    <t>奎屯市</t>
  </si>
  <si>
    <t>伊宁县</t>
  </si>
  <si>
    <t>察布查尔锡伯自治县</t>
  </si>
  <si>
    <t>霍城县</t>
  </si>
  <si>
    <t>巩留县</t>
  </si>
  <si>
    <t>新源县</t>
  </si>
  <si>
    <t>昭苏县</t>
  </si>
  <si>
    <t>特克斯县</t>
  </si>
  <si>
    <t>尼勒克县</t>
  </si>
  <si>
    <t>塔城市</t>
  </si>
  <si>
    <t>乌苏市</t>
  </si>
  <si>
    <t>额敏县</t>
  </si>
  <si>
    <t>沙湾县</t>
  </si>
  <si>
    <t>托里县</t>
  </si>
  <si>
    <t>裕民县</t>
  </si>
  <si>
    <t>和布克赛尔蒙古自治县</t>
  </si>
  <si>
    <t>阿勒泰市</t>
  </si>
  <si>
    <t>布尔津县</t>
  </si>
  <si>
    <t>富蕴县</t>
  </si>
  <si>
    <t>福海县</t>
  </si>
  <si>
    <t>哈巴河县</t>
  </si>
  <si>
    <t>青河县</t>
  </si>
  <si>
    <t>吉木乃县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</si>
</sst>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0_ "/>
  </numFmts>
  <fonts count="36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24"/>
      <color rgb="FF2670B7"/>
      <name val="宋体"/>
      <charset val="134"/>
      <scheme val="minor"/>
    </font>
    <font>
      <b/>
      <sz val="11.5"/>
      <color rgb="FF2670B7"/>
      <name val="宋体"/>
      <charset val="134"/>
      <scheme val="minor"/>
    </font>
    <font>
      <sz val="10"/>
      <color theme="1"/>
      <name val="宋体"/>
      <charset val="134"/>
      <scheme val="minor"/>
    </font>
    <font>
      <sz val="10"/>
      <color theme="1"/>
      <name val="宋体"/>
      <charset val="134"/>
    </font>
    <font>
      <sz val="10"/>
      <color rgb="FFFF0000"/>
      <name val="宋体"/>
      <charset val="134"/>
      <scheme val="minor"/>
    </font>
    <font>
      <sz val="10"/>
      <color rgb="FFFF0000"/>
      <name val="宋体"/>
      <charset val="134"/>
    </font>
    <font>
      <sz val="1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134"/>
      <scheme val="minor"/>
    </font>
    <font>
      <sz val="9"/>
      <color theme="1"/>
      <name val="宋体"/>
      <charset val="134"/>
    </font>
    <font>
      <sz val="9"/>
      <color theme="1"/>
      <name val="Arial"/>
      <charset val="134"/>
    </font>
    <font>
      <sz val="9"/>
      <color theme="1"/>
      <name val="宋体"/>
      <charset val="134"/>
      <scheme val="minor"/>
    </font>
    <font>
      <b/>
      <sz val="9"/>
      <color theme="0" tint="-0.349986266670736"/>
      <name val="宋体"/>
      <charset val="134"/>
      <scheme val="minor"/>
    </font>
    <font>
      <sz val="8"/>
      <color theme="1"/>
      <name val="微软雅黑"/>
      <charset val="134"/>
    </font>
    <font>
      <b/>
      <sz val="11.5"/>
      <color rgb="FF2670B7"/>
      <name val="宋体"/>
      <charset val="134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.5"/>
      <color rgb="FFFF0000"/>
      <name val="宋体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6">
    <border>
      <left/>
      <right/>
      <top/>
      <bottom/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/>
      <right/>
      <top/>
      <bottom style="thin">
        <color auto="1"/>
      </bottom>
      <diagonal/>
    </border>
    <border>
      <left style="thin">
        <color theme="0" tint="-0.349986266670736"/>
      </left>
      <right style="thin">
        <color theme="0" tint="-0.349986266670736"/>
      </right>
      <top/>
      <bottom style="thin">
        <color theme="0" tint="-0.349986266670736"/>
      </bottom>
      <diagonal/>
    </border>
    <border>
      <left style="thin">
        <color theme="0" tint="-0.349986266670736"/>
      </left>
      <right/>
      <top/>
      <bottom style="thin">
        <color theme="0" tint="-0.349986266670736"/>
      </bottom>
      <diagonal/>
    </border>
    <border>
      <left style="thin">
        <color theme="0" tint="-0.349986266670736"/>
      </left>
      <right/>
      <top style="thin">
        <color theme="0" tint="-0.349986266670736"/>
      </top>
      <bottom style="thin">
        <color theme="0" tint="-0.349986266670736"/>
      </bottom>
      <diagonal/>
    </border>
    <border>
      <left/>
      <right/>
      <top/>
      <bottom style="double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double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double">
        <color theme="0" tint="-0.499984740745262"/>
      </top>
      <bottom style="thin">
        <color theme="0" tint="-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0" fillId="6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13" borderId="23" applyNumberFormat="0" applyFont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1" fillId="0" borderId="22" applyNumberFormat="0" applyFill="0" applyAlignment="0" applyProtection="0">
      <alignment vertical="center"/>
    </xf>
    <xf numFmtId="0" fontId="21" fillId="0" borderId="22" applyNumberFormat="0" applyFill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2" fillId="0" borderId="24" applyNumberFormat="0" applyFill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18" fillId="4" borderId="19" applyNumberFormat="0" applyAlignment="0" applyProtection="0">
      <alignment vertical="center"/>
    </xf>
    <xf numFmtId="0" fontId="29" fillId="4" borderId="21" applyNumberFormat="0" applyAlignment="0" applyProtection="0">
      <alignment vertical="center"/>
    </xf>
    <xf numFmtId="0" fontId="19" fillId="5" borderId="20" applyNumberForma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17" fillId="0" borderId="18" applyNumberFormat="0" applyFill="0" applyAlignment="0" applyProtection="0">
      <alignment vertical="center"/>
    </xf>
    <xf numFmtId="0" fontId="34" fillId="0" borderId="25" applyNumberFormat="0" applyFill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</cellStyleXfs>
  <cellXfs count="96">
    <xf numFmtId="0" fontId="0" fillId="0" borderId="0" xfId="0"/>
    <xf numFmtId="0" fontId="1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0" xfId="0" applyFill="1"/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2" borderId="3" xfId="0" applyFill="1" applyBorder="1" applyAlignment="1">
      <alignment vertical="center"/>
    </xf>
    <xf numFmtId="0" fontId="0" fillId="0" borderId="3" xfId="0" applyBorder="1" applyAlignment="1">
      <alignment vertical="center"/>
    </xf>
    <xf numFmtId="49" fontId="1" fillId="0" borderId="2" xfId="0" applyNumberFormat="1" applyFont="1" applyBorder="1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0" borderId="0" xfId="0" applyAlignment="1">
      <alignment horizontal="left" vertical="top" wrapText="1" indent="1"/>
    </xf>
    <xf numFmtId="0" fontId="0" fillId="0" borderId="0" xfId="0" applyAlignment="1">
      <alignment wrapText="1"/>
    </xf>
    <xf numFmtId="0" fontId="0" fillId="3" borderId="0" xfId="0" applyFont="1" applyFill="1" applyAlignment="1">
      <alignment horizontal="right" vertical="center" wrapText="1"/>
    </xf>
    <xf numFmtId="0" fontId="0" fillId="3" borderId="0" xfId="0" applyFill="1" applyAlignment="1">
      <alignment horizontal="right" vertical="center" wrapText="1"/>
    </xf>
    <xf numFmtId="0" fontId="0" fillId="3" borderId="0" xfId="0" applyFill="1" applyAlignment="1">
      <alignment wrapText="1"/>
    </xf>
    <xf numFmtId="0" fontId="2" fillId="0" borderId="0" xfId="0" applyFont="1" applyAlignment="1">
      <alignment horizontal="center" wrapText="1"/>
    </xf>
    <xf numFmtId="0" fontId="3" fillId="0" borderId="6" xfId="0" applyFont="1" applyBorder="1" applyAlignment="1">
      <alignment vertical="center"/>
    </xf>
    <xf numFmtId="0" fontId="0" fillId="0" borderId="6" xfId="0" applyBorder="1" applyAlignment="1">
      <alignment wrapText="1"/>
    </xf>
    <xf numFmtId="0" fontId="0" fillId="0" borderId="0" xfId="0" applyAlignment="1">
      <alignment vertical="center" wrapText="1"/>
    </xf>
    <xf numFmtId="0" fontId="4" fillId="3" borderId="7" xfId="0" applyFont="1" applyFill="1" applyBorder="1" applyAlignment="1">
      <alignment horizontal="right" vertical="center" wrapText="1"/>
    </xf>
    <xf numFmtId="0" fontId="4" fillId="0" borderId="7" xfId="0" applyFont="1" applyBorder="1" applyAlignment="1">
      <alignment horizontal="center" vertical="center" wrapText="1"/>
    </xf>
    <xf numFmtId="0" fontId="5" fillId="3" borderId="7" xfId="0" applyFont="1" applyFill="1" applyBorder="1" applyAlignment="1">
      <alignment horizontal="right" vertical="center" wrapText="1"/>
    </xf>
    <xf numFmtId="0" fontId="6" fillId="3" borderId="7" xfId="0" applyFont="1" applyFill="1" applyBorder="1" applyAlignment="1">
      <alignment horizontal="right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0" fontId="4" fillId="3" borderId="8" xfId="0" applyFont="1" applyFill="1" applyBorder="1" applyAlignment="1">
      <alignment horizontal="right" vertical="center" wrapText="1"/>
    </xf>
    <xf numFmtId="0" fontId="4" fillId="0" borderId="8" xfId="0" applyFont="1" applyBorder="1" applyAlignment="1">
      <alignment horizontal="center" vertical="center" wrapText="1"/>
    </xf>
    <xf numFmtId="0" fontId="5" fillId="3" borderId="8" xfId="0" applyFont="1" applyFill="1" applyBorder="1" applyAlignment="1">
      <alignment horizontal="right" vertical="center" wrapText="1"/>
    </xf>
    <xf numFmtId="0" fontId="7" fillId="3" borderId="8" xfId="0" applyFont="1" applyFill="1" applyBorder="1" applyAlignment="1">
      <alignment horizontal="right" vertical="center" wrapText="1"/>
    </xf>
    <xf numFmtId="49" fontId="4" fillId="0" borderId="9" xfId="0" applyNumberFormat="1" applyFont="1" applyBorder="1" applyAlignment="1">
      <alignment horizontal="center" vertical="center" wrapText="1"/>
    </xf>
    <xf numFmtId="49" fontId="4" fillId="0" borderId="10" xfId="0" applyNumberFormat="1" applyFont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3" borderId="12" xfId="0" applyFont="1" applyFill="1" applyBorder="1" applyAlignment="1">
      <alignment horizontal="right" vertical="center" wrapText="1"/>
    </xf>
    <xf numFmtId="0" fontId="9" fillId="0" borderId="12" xfId="10" applyBorder="1" applyAlignment="1">
      <alignment horizontal="center" vertical="center" wrapText="1"/>
    </xf>
    <xf numFmtId="0" fontId="4" fillId="3" borderId="9" xfId="0" applyFont="1" applyFill="1" applyBorder="1" applyAlignment="1">
      <alignment horizontal="right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4" fontId="11" fillId="0" borderId="8" xfId="0" applyNumberFormat="1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176" fontId="4" fillId="2" borderId="8" xfId="0" applyNumberFormat="1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11" fillId="0" borderId="8" xfId="0" applyFont="1" applyBorder="1" applyAlignment="1">
      <alignment horizontal="left" vertical="top" wrapText="1" indent="1"/>
    </xf>
    <xf numFmtId="0" fontId="12" fillId="0" borderId="8" xfId="0" applyFont="1" applyBorder="1" applyAlignment="1">
      <alignment horizontal="left" vertical="top" wrapText="1" indent="1"/>
    </xf>
    <xf numFmtId="0" fontId="12" fillId="0" borderId="0" xfId="0" applyFont="1" applyBorder="1" applyAlignment="1">
      <alignment horizontal="left" vertical="top" wrapText="1"/>
    </xf>
    <xf numFmtId="0" fontId="6" fillId="3" borderId="8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0" fillId="0" borderId="0" xfId="0" applyBorder="1" applyAlignment="1">
      <alignment wrapText="1"/>
    </xf>
    <xf numFmtId="0" fontId="6" fillId="3" borderId="8" xfId="0" applyFont="1" applyFill="1" applyBorder="1" applyAlignment="1">
      <alignment horizontal="left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4" fillId="0" borderId="0" xfId="0" applyFont="1" applyBorder="1" applyAlignment="1">
      <alignment vertical="center" wrapText="1"/>
    </xf>
    <xf numFmtId="0" fontId="12" fillId="0" borderId="0" xfId="0" applyFont="1" applyBorder="1" applyAlignment="1">
      <alignment horizontal="left" vertical="top" wrapText="1" indent="1"/>
    </xf>
    <xf numFmtId="0" fontId="12" fillId="0" borderId="0" xfId="0" applyFont="1" applyBorder="1" applyAlignment="1">
      <alignment vertical="top" wrapText="1"/>
    </xf>
    <xf numFmtId="0" fontId="0" fillId="0" borderId="6" xfId="0" applyFont="1" applyBorder="1" applyAlignment="1">
      <alignment wrapText="1"/>
    </xf>
    <xf numFmtId="0" fontId="6" fillId="3" borderId="1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15" fillId="0" borderId="0" xfId="0" applyFont="1" applyAlignment="1">
      <alignment horizontal="justify" vertical="center"/>
    </xf>
    <xf numFmtId="0" fontId="12" fillId="0" borderId="12" xfId="0" applyFont="1" applyBorder="1" applyAlignment="1">
      <alignment horizontal="left" vertical="top" wrapText="1" indent="1"/>
    </xf>
    <xf numFmtId="0" fontId="4" fillId="2" borderId="9" xfId="0" applyFont="1" applyFill="1" applyBorder="1" applyAlignment="1">
      <alignment vertical="center" wrapText="1"/>
    </xf>
    <xf numFmtId="0" fontId="4" fillId="2" borderId="10" xfId="0" applyFont="1" applyFill="1" applyBorder="1" applyAlignment="1">
      <alignment vertical="center" wrapText="1"/>
    </xf>
    <xf numFmtId="0" fontId="11" fillId="0" borderId="9" xfId="0" applyFont="1" applyBorder="1" applyAlignment="1">
      <alignment horizontal="left" vertical="top" wrapText="1"/>
    </xf>
    <xf numFmtId="0" fontId="11" fillId="0" borderId="10" xfId="0" applyFont="1" applyBorder="1" applyAlignment="1">
      <alignment horizontal="left" vertical="top" wrapText="1"/>
    </xf>
    <xf numFmtId="0" fontId="11" fillId="0" borderId="11" xfId="0" applyFont="1" applyBorder="1" applyAlignment="1">
      <alignment horizontal="left" vertical="top" wrapText="1"/>
    </xf>
    <xf numFmtId="0" fontId="4" fillId="2" borderId="15" xfId="0" applyFont="1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12" fillId="0" borderId="10" xfId="0" applyFont="1" applyBorder="1" applyAlignment="1">
      <alignment horizontal="left" vertical="top" wrapText="1"/>
    </xf>
    <xf numFmtId="0" fontId="6" fillId="3" borderId="9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6" fillId="0" borderId="0" xfId="0" applyFont="1" applyBorder="1" applyAlignment="1">
      <alignment vertical="center" wrapText="1"/>
    </xf>
    <xf numFmtId="0" fontId="13" fillId="0" borderId="0" xfId="0" applyFont="1" applyBorder="1" applyAlignment="1">
      <alignment vertical="center" wrapText="1"/>
    </xf>
    <xf numFmtId="0" fontId="13" fillId="0" borderId="0" xfId="0" applyFont="1" applyBorder="1" applyAlignment="1" applyProtection="1">
      <alignment vertical="center" wrapText="1"/>
    </xf>
    <xf numFmtId="0" fontId="4" fillId="2" borderId="11" xfId="0" applyFont="1" applyFill="1" applyBorder="1" applyAlignment="1">
      <alignment vertical="center" wrapText="1"/>
    </xf>
    <xf numFmtId="0" fontId="12" fillId="0" borderId="11" xfId="0" applyFont="1" applyBorder="1" applyAlignment="1">
      <alignment horizontal="left" vertical="top" wrapText="1"/>
    </xf>
    <xf numFmtId="0" fontId="12" fillId="0" borderId="0" xfId="0" applyFont="1" applyBorder="1" applyAlignment="1">
      <alignment vertical="center" wrapText="1"/>
    </xf>
    <xf numFmtId="0" fontId="16" fillId="0" borderId="6" xfId="0" applyFont="1" applyBorder="1" applyAlignment="1">
      <alignment vertical="center"/>
    </xf>
    <xf numFmtId="0" fontId="12" fillId="0" borderId="0" xfId="0" applyFont="1" applyAlignment="1">
      <alignment vertical="center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ont>
        <b val="1"/>
        <i val="0"/>
        <color theme="0" tint="-0.0499893185216834"/>
      </font>
      <fill>
        <patternFill patternType="solid">
          <bgColor rgb="FFFF0000"/>
        </patternFill>
      </fill>
    </dxf>
    <dxf>
      <font>
        <b val="1"/>
        <i val="0"/>
        <color auto="1"/>
      </font>
      <fill>
        <patternFill patternType="solid">
          <bgColor rgb="FFFFFFCC"/>
        </patternFill>
      </fill>
    </dxf>
  </dxfs>
  <tableStyles count="0" defaultTableStyle="TableStyleMedium2"/>
  <colors>
    <mruColors>
      <color rgb="00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47625</xdr:rowOff>
        </xdr:from>
        <xdr:to>
          <xdr:col>4</xdr:col>
          <xdr:colOff>523875</xdr:colOff>
          <xdr:row>0</xdr:row>
          <xdr:rowOff>352425</xdr:rowOff>
        </xdr:to>
        <xdr:sp>
          <xdr:nvSpPr>
            <xdr:cNvPr id="3075" name="btnShowNextWor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2397125" y="47625"/>
              <a:ext cx="1102360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0</xdr:row>
          <xdr:rowOff>47625</xdr:rowOff>
        </xdr:from>
        <xdr:to>
          <xdr:col>5</xdr:col>
          <xdr:colOff>657225</xdr:colOff>
          <xdr:row>0</xdr:row>
          <xdr:rowOff>352425</xdr:rowOff>
        </xdr:to>
        <xdr:sp>
          <xdr:nvSpPr>
            <xdr:cNvPr id="3076" name="btnHideLastWor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3499485" y="47625"/>
              <a:ext cx="1102360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762000</xdr:colOff>
          <xdr:row>0</xdr:row>
          <xdr:rowOff>47625</xdr:rowOff>
        </xdr:from>
        <xdr:to>
          <xdr:col>6</xdr:col>
          <xdr:colOff>895350</xdr:colOff>
          <xdr:row>0</xdr:row>
          <xdr:rowOff>352425</xdr:rowOff>
        </xdr:to>
        <xdr:sp>
          <xdr:nvSpPr>
            <xdr:cNvPr id="3077" name="btnShowNextProject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4706620" y="47625"/>
              <a:ext cx="1102360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0</xdr:row>
          <xdr:rowOff>47625</xdr:rowOff>
        </xdr:from>
        <xdr:to>
          <xdr:col>7</xdr:col>
          <xdr:colOff>942975</xdr:colOff>
          <xdr:row>0</xdr:row>
          <xdr:rowOff>352425</xdr:rowOff>
        </xdr:to>
        <xdr:sp>
          <xdr:nvSpPr>
            <xdr:cNvPr id="3078" name="btnHideLastProject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5818505" y="47625"/>
              <a:ext cx="1092835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47625</xdr:rowOff>
        </xdr:from>
        <xdr:to>
          <xdr:col>2</xdr:col>
          <xdr:colOff>152400</xdr:colOff>
          <xdr:row>0</xdr:row>
          <xdr:rowOff>352425</xdr:rowOff>
        </xdr:to>
        <xdr:sp>
          <xdr:nvSpPr>
            <xdr:cNvPr id="3080" name="btnShowNextEdu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87630" y="47625"/>
              <a:ext cx="1102360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0</xdr:row>
          <xdr:rowOff>47625</xdr:rowOff>
        </xdr:from>
        <xdr:to>
          <xdr:col>3</xdr:col>
          <xdr:colOff>285750</xdr:colOff>
          <xdr:row>0</xdr:row>
          <xdr:rowOff>352425</xdr:rowOff>
        </xdr:to>
        <xdr:sp>
          <xdr:nvSpPr>
            <xdr:cNvPr id="3081" name="btnHideLastEdu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1189990" y="47625"/>
              <a:ext cx="1102360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5" Type="http://schemas.openxmlformats.org/officeDocument/2006/relationships/hyperlink" Target="mailto:651828863@qq.com" TargetMode="External"/><Relationship Id="rId14" Type="http://schemas.openxmlformats.org/officeDocument/2006/relationships/image" Target="../media/image6.wmf"/><Relationship Id="rId13" Type="http://schemas.openxmlformats.org/officeDocument/2006/relationships/control" Target="../activeX/activeX6.x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257"/>
  <sheetViews>
    <sheetView showGridLines="0" tabSelected="1" workbookViewId="0">
      <pane ySplit="1" topLeftCell="A25" activePane="bottomLeft" state="frozen"/>
      <selection/>
      <selection pane="bottomLeft" activeCell="L253" sqref="L253"/>
    </sheetView>
  </sheetViews>
  <sheetFormatPr defaultColWidth="9" defaultRowHeight="14.4"/>
  <cols>
    <col min="1" max="1" width="1" style="14" customWidth="1"/>
    <col min="2" max="6" width="14.1296296296296" style="14" customWidth="1"/>
    <col min="7" max="7" width="15.3796296296296" style="14" customWidth="1"/>
    <col min="8" max="8" width="14.1296296296296" style="14" customWidth="1"/>
    <col min="9" max="9" width="14.8796296296296" style="14" customWidth="1"/>
    <col min="10" max="10" width="14.1296296296296" style="14" customWidth="1"/>
    <col min="11" max="13" width="9" style="14"/>
    <col min="14" max="14" width="12.75" style="14" customWidth="1"/>
    <col min="15" max="16384" width="9" style="14"/>
  </cols>
  <sheetData>
    <row r="1" ht="31.5" customHeight="1" spans="1:9">
      <c r="A1" s="15" t="s">
        <v>0</v>
      </c>
      <c r="B1" s="16" t="s">
        <v>1</v>
      </c>
      <c r="C1" s="17"/>
      <c r="D1" s="17"/>
      <c r="E1" s="17"/>
      <c r="F1" s="17"/>
      <c r="G1" s="17"/>
      <c r="H1" s="17"/>
      <c r="I1" s="17"/>
    </row>
    <row r="2" ht="30.6" spans="1:10">
      <c r="A2" s="18" t="s">
        <v>2</v>
      </c>
      <c r="B2" s="18"/>
      <c r="C2" s="18"/>
      <c r="D2" s="18"/>
      <c r="E2" s="18"/>
      <c r="F2" s="18"/>
      <c r="G2" s="18"/>
      <c r="H2" s="18"/>
      <c r="I2" s="18"/>
      <c r="J2" s="60"/>
    </row>
    <row r="3" ht="21.75" customHeight="1" spans="1:10">
      <c r="A3" s="19" t="s">
        <v>3</v>
      </c>
      <c r="B3" s="20"/>
      <c r="C3" s="20"/>
      <c r="D3" s="20"/>
      <c r="E3" s="20"/>
      <c r="F3" s="20"/>
      <c r="G3" s="20"/>
      <c r="H3" s="20"/>
      <c r="I3" s="20"/>
      <c r="J3" s="61"/>
    </row>
    <row r="4" ht="21.75" customHeight="1" spans="1:9">
      <c r="A4" s="21"/>
      <c r="B4" s="22" t="s">
        <v>4</v>
      </c>
      <c r="C4" s="23" t="s">
        <v>5</v>
      </c>
      <c r="D4" s="24" t="s">
        <v>6</v>
      </c>
      <c r="E4" s="23" t="s">
        <v>7</v>
      </c>
      <c r="F4" s="25" t="s">
        <v>8</v>
      </c>
      <c r="G4" s="26">
        <v>33671</v>
      </c>
      <c r="H4" s="22" t="s">
        <v>9</v>
      </c>
      <c r="I4" s="23" t="s">
        <v>10</v>
      </c>
    </row>
    <row r="5" ht="21.75" customHeight="1" spans="1:9">
      <c r="A5" s="21"/>
      <c r="B5" s="27" t="s">
        <v>11</v>
      </c>
      <c r="C5" s="28" t="s">
        <v>12</v>
      </c>
      <c r="D5" s="29" t="s">
        <v>13</v>
      </c>
      <c r="E5" s="28" t="s">
        <v>14</v>
      </c>
      <c r="F5" s="30" t="s">
        <v>15</v>
      </c>
      <c r="G5" s="31" t="s">
        <v>16</v>
      </c>
      <c r="H5" s="32"/>
      <c r="I5" s="62" t="str">
        <f ca="1" t="array" ref="I5">IF(LEN(G5)=18,IF(MID("10X98765432",MOD(SUM(MID(LEFT(G5,17),ROW(INDIRECT("1:17")),1)*2^(18-ROW(INDIRECT("1:17")))),11)+1,1)=RIGHT(G5,1),"&lt;--- 校验通过","&lt;--- 校验未通过"),IF(LEN(G5)=15,REPLACE(G5,7,,19)&amp;MID("10X98765432",MOD(SUM(MID(REPLACE(G5,7,,19),ROW(INDIRECT("1:17")),1)*2^(18-ROW(INDIRECT("1:17")))),11)+1,1),""))</f>
        <v>&lt;--- 校验通过</v>
      </c>
    </row>
    <row r="6" ht="21.75" customHeight="1" spans="1:9">
      <c r="A6" s="21"/>
      <c r="B6" s="27" t="s">
        <v>17</v>
      </c>
      <c r="C6" s="33" t="s">
        <v>18</v>
      </c>
      <c r="D6" s="34" t="s">
        <v>19</v>
      </c>
      <c r="E6" s="34" t="s">
        <v>20</v>
      </c>
      <c r="F6" s="27" t="s">
        <v>21</v>
      </c>
      <c r="G6" s="33" t="s">
        <v>18</v>
      </c>
      <c r="H6" s="34" t="s">
        <v>22</v>
      </c>
      <c r="I6" s="34" t="s">
        <v>23</v>
      </c>
    </row>
    <row r="7" ht="21.75" customHeight="1" spans="1:9">
      <c r="A7" s="21"/>
      <c r="B7" s="27" t="s">
        <v>24</v>
      </c>
      <c r="C7" s="35" t="s">
        <v>25</v>
      </c>
      <c r="D7" s="36"/>
      <c r="E7" s="36"/>
      <c r="F7" s="36"/>
      <c r="G7" s="37"/>
      <c r="H7" s="27" t="s">
        <v>26</v>
      </c>
      <c r="I7" s="28"/>
    </row>
    <row r="8" ht="21.75" customHeight="1" spans="1:9">
      <c r="A8" s="21"/>
      <c r="B8" s="29" t="s">
        <v>27</v>
      </c>
      <c r="C8" s="38">
        <v>18502886670</v>
      </c>
      <c r="D8" s="27" t="s">
        <v>28</v>
      </c>
      <c r="E8" s="38"/>
      <c r="F8" s="39" t="s">
        <v>29</v>
      </c>
      <c r="G8" s="40" t="s">
        <v>30</v>
      </c>
      <c r="H8" s="39" t="s">
        <v>31</v>
      </c>
      <c r="I8" s="38">
        <v>18502886670</v>
      </c>
    </row>
    <row r="9" ht="21.75" customHeight="1" spans="1:9">
      <c r="A9" s="21"/>
      <c r="B9" s="27" t="s">
        <v>32</v>
      </c>
      <c r="C9" s="28"/>
      <c r="D9" s="28"/>
      <c r="E9" s="41" t="s">
        <v>33</v>
      </c>
      <c r="F9" s="42"/>
      <c r="G9" s="43"/>
      <c r="H9" s="43"/>
      <c r="I9" s="63"/>
    </row>
    <row r="10" ht="21.75" customHeight="1" spans="1:10">
      <c r="A10" s="19" t="s">
        <v>34</v>
      </c>
      <c r="B10" s="20"/>
      <c r="C10" s="20"/>
      <c r="D10" s="20"/>
      <c r="E10" s="20"/>
      <c r="F10" s="20"/>
      <c r="G10" s="20"/>
      <c r="H10" s="20"/>
      <c r="I10" s="20"/>
      <c r="J10" s="61"/>
    </row>
    <row r="11" ht="21.75" customHeight="1" spans="1:9">
      <c r="A11" s="21"/>
      <c r="B11" s="44" t="s">
        <v>35</v>
      </c>
      <c r="C11" s="44" t="s">
        <v>36</v>
      </c>
      <c r="D11" s="44" t="s">
        <v>37</v>
      </c>
      <c r="E11" s="45" t="s">
        <v>38</v>
      </c>
      <c r="F11" s="45" t="s">
        <v>39</v>
      </c>
      <c r="G11" s="44" t="s">
        <v>40</v>
      </c>
      <c r="H11" s="46" t="s">
        <v>41</v>
      </c>
      <c r="I11" s="46" t="s">
        <v>42</v>
      </c>
    </row>
    <row r="12" ht="21.75" customHeight="1" spans="1:9">
      <c r="A12" s="21"/>
      <c r="B12" s="47">
        <v>40787</v>
      </c>
      <c r="C12" s="47">
        <v>42156</v>
      </c>
      <c r="D12" s="28" t="s">
        <v>43</v>
      </c>
      <c r="E12" s="23" t="s">
        <v>10</v>
      </c>
      <c r="F12" s="28" t="s">
        <v>44</v>
      </c>
      <c r="G12" s="34" t="s">
        <v>45</v>
      </c>
      <c r="H12" s="28" t="s">
        <v>46</v>
      </c>
      <c r="I12" s="28" t="s">
        <v>47</v>
      </c>
    </row>
    <row r="13" ht="21.75" hidden="1" customHeight="1" spans="1:9">
      <c r="A13" s="21"/>
      <c r="B13" s="47"/>
      <c r="C13" s="47"/>
      <c r="D13" s="28"/>
      <c r="E13" s="23"/>
      <c r="F13" s="28"/>
      <c r="G13" s="34"/>
      <c r="H13" s="28"/>
      <c r="I13" s="28"/>
    </row>
    <row r="14" ht="21.75" hidden="1" customHeight="1" spans="1:9">
      <c r="A14" s="21"/>
      <c r="B14" s="47"/>
      <c r="C14" s="47"/>
      <c r="D14" s="28"/>
      <c r="E14" s="23"/>
      <c r="F14" s="28"/>
      <c r="G14" s="34"/>
      <c r="H14" s="28"/>
      <c r="I14" s="28"/>
    </row>
    <row r="15" ht="21.75" hidden="1" customHeight="1" spans="1:9">
      <c r="A15" s="21"/>
      <c r="B15" s="47"/>
      <c r="C15" s="47"/>
      <c r="D15" s="28"/>
      <c r="E15" s="23"/>
      <c r="F15" s="28"/>
      <c r="G15" s="34"/>
      <c r="H15" s="28"/>
      <c r="I15" s="28"/>
    </row>
    <row r="16" ht="21.75" hidden="1" customHeight="1" spans="1:9">
      <c r="A16" s="21"/>
      <c r="B16" s="47"/>
      <c r="C16" s="47"/>
      <c r="D16" s="28"/>
      <c r="E16" s="23"/>
      <c r="F16" s="28"/>
      <c r="G16" s="34"/>
      <c r="H16" s="28"/>
      <c r="I16" s="28"/>
    </row>
    <row r="17" ht="21.75" hidden="1" customHeight="1" spans="1:9">
      <c r="A17" s="21"/>
      <c r="B17" s="47"/>
      <c r="C17" s="47"/>
      <c r="D17" s="28"/>
      <c r="E17" s="23"/>
      <c r="F17" s="28"/>
      <c r="G17" s="34"/>
      <c r="H17" s="28"/>
      <c r="I17" s="28"/>
    </row>
    <row r="18" ht="23.25" customHeight="1" spans="1:10">
      <c r="A18" s="19" t="s">
        <v>48</v>
      </c>
      <c r="B18" s="20"/>
      <c r="C18" s="20"/>
      <c r="D18" s="20"/>
      <c r="E18" s="20"/>
      <c r="F18" s="20"/>
      <c r="G18" s="20"/>
      <c r="H18" s="20"/>
      <c r="I18" s="20"/>
      <c r="J18" s="61"/>
    </row>
    <row r="19" ht="25.5" customHeight="1" spans="1:10">
      <c r="A19" s="48">
        <v>1</v>
      </c>
      <c r="B19" s="49" t="s">
        <v>49</v>
      </c>
      <c r="C19" s="49" t="s">
        <v>50</v>
      </c>
      <c r="D19" s="50" t="s">
        <v>51</v>
      </c>
      <c r="E19" s="49"/>
      <c r="F19" s="49" t="s">
        <v>52</v>
      </c>
      <c r="G19" s="49" t="s">
        <v>53</v>
      </c>
      <c r="H19" s="49" t="s">
        <v>54</v>
      </c>
      <c r="I19" s="49" t="s">
        <v>55</v>
      </c>
      <c r="J19" s="61"/>
    </row>
    <row r="20" ht="25.5" customHeight="1" spans="1:10">
      <c r="A20" s="51"/>
      <c r="B20" s="52">
        <v>42468</v>
      </c>
      <c r="C20" s="52">
        <v>42774</v>
      </c>
      <c r="D20" s="53" t="s">
        <v>56</v>
      </c>
      <c r="E20" s="53"/>
      <c r="F20" s="53">
        <v>50</v>
      </c>
      <c r="G20" s="53" t="s">
        <v>57</v>
      </c>
      <c r="H20" s="53" t="s">
        <v>58</v>
      </c>
      <c r="I20" s="64" t="s">
        <v>59</v>
      </c>
      <c r="J20" s="61"/>
    </row>
    <row r="21" ht="25.5" customHeight="1" spans="1:10">
      <c r="A21" s="21"/>
      <c r="B21" s="49" t="s">
        <v>60</v>
      </c>
      <c r="C21" s="54" t="str">
        <f ca="1">"（时长"&amp;TEXT((IF(C20="至今",NOW(),C20)-B20)/365,"0.00")&amp;"年）"</f>
        <v>（时长0.84年）</v>
      </c>
      <c r="D21" s="55" t="s">
        <v>61</v>
      </c>
      <c r="E21" s="55"/>
      <c r="F21" s="55"/>
      <c r="G21" s="55"/>
      <c r="H21" s="55"/>
      <c r="I21" s="55"/>
      <c r="J21" s="65"/>
    </row>
    <row r="22" s="13" customFormat="1" ht="52" customHeight="1" spans="2:10">
      <c r="B22" s="56" t="s">
        <v>62</v>
      </c>
      <c r="C22" s="57"/>
      <c r="D22" s="57"/>
      <c r="E22" s="57"/>
      <c r="F22" s="57"/>
      <c r="G22" s="57"/>
      <c r="H22" s="57"/>
      <c r="I22" s="57"/>
      <c r="J22" s="66"/>
    </row>
    <row r="23" spans="1:10">
      <c r="A23" s="21"/>
      <c r="B23" s="58"/>
      <c r="C23" s="58"/>
      <c r="D23" s="58"/>
      <c r="E23" s="58"/>
      <c r="F23" s="58"/>
      <c r="G23" s="58"/>
      <c r="H23" s="58"/>
      <c r="I23" s="58"/>
      <c r="J23" s="67"/>
    </row>
    <row r="24" ht="25.5" customHeight="1" spans="1:9">
      <c r="A24" s="48">
        <v>2</v>
      </c>
      <c r="B24" s="49" t="s">
        <v>63</v>
      </c>
      <c r="C24" s="49" t="s">
        <v>64</v>
      </c>
      <c r="D24" s="59" t="s">
        <v>51</v>
      </c>
      <c r="E24" s="49"/>
      <c r="F24" s="49" t="s">
        <v>52</v>
      </c>
      <c r="G24" s="49" t="s">
        <v>53</v>
      </c>
      <c r="H24" s="49" t="s">
        <v>54</v>
      </c>
      <c r="I24" s="49" t="s">
        <v>55</v>
      </c>
    </row>
    <row r="25" ht="25.5" customHeight="1" spans="1:9">
      <c r="A25" s="21"/>
      <c r="B25" s="52">
        <v>42815</v>
      </c>
      <c r="C25" s="52">
        <v>43551</v>
      </c>
      <c r="D25" s="53" t="s">
        <v>65</v>
      </c>
      <c r="E25" s="53"/>
      <c r="F25" s="53">
        <v>1000</v>
      </c>
      <c r="G25" s="53" t="s">
        <v>57</v>
      </c>
      <c r="H25" s="53" t="s">
        <v>66</v>
      </c>
      <c r="I25" s="64" t="s">
        <v>59</v>
      </c>
    </row>
    <row r="26" ht="25.5" customHeight="1" spans="1:10">
      <c r="A26" s="21"/>
      <c r="B26" s="49" t="s">
        <v>67</v>
      </c>
      <c r="C26" s="54" t="str">
        <f>"（时长"&amp;TEXT((C25-B25)/365,"0.00")&amp;"年）"</f>
        <v>（时长2.02年）</v>
      </c>
      <c r="D26" s="55" t="s">
        <v>61</v>
      </c>
      <c r="E26" s="55"/>
      <c r="F26" s="55"/>
      <c r="G26" s="55"/>
      <c r="H26" s="55"/>
      <c r="I26" s="55"/>
      <c r="J26" s="65"/>
    </row>
    <row r="27" ht="53" customHeight="1" spans="1:10">
      <c r="A27" s="21"/>
      <c r="B27" s="56" t="s">
        <v>68</v>
      </c>
      <c r="C27" s="57"/>
      <c r="D27" s="57"/>
      <c r="E27" s="57"/>
      <c r="F27" s="57"/>
      <c r="G27" s="57"/>
      <c r="H27" s="57"/>
      <c r="I27" s="57"/>
      <c r="J27" s="67"/>
    </row>
    <row r="28" spans="1:10">
      <c r="A28" s="21"/>
      <c r="B28" s="58"/>
      <c r="C28" s="58"/>
      <c r="D28" s="58"/>
      <c r="E28" s="58"/>
      <c r="F28" s="58"/>
      <c r="G28" s="58"/>
      <c r="H28" s="58"/>
      <c r="I28" s="58"/>
      <c r="J28" s="67"/>
    </row>
    <row r="29" ht="25.5" hidden="1" customHeight="1" spans="1:9">
      <c r="A29" s="48">
        <v>3</v>
      </c>
      <c r="B29" s="49" t="s">
        <v>63</v>
      </c>
      <c r="C29" s="49" t="s">
        <v>64</v>
      </c>
      <c r="D29" s="59" t="s">
        <v>51</v>
      </c>
      <c r="E29" s="49"/>
      <c r="F29" s="49" t="s">
        <v>52</v>
      </c>
      <c r="G29" s="49" t="s">
        <v>53</v>
      </c>
      <c r="H29" s="49" t="s">
        <v>54</v>
      </c>
      <c r="I29" s="49" t="s">
        <v>55</v>
      </c>
    </row>
    <row r="30" ht="25.5" hidden="1" customHeight="1" spans="1:9">
      <c r="A30" s="21"/>
      <c r="B30" s="52"/>
      <c r="C30" s="52"/>
      <c r="D30" s="53"/>
      <c r="E30" s="53"/>
      <c r="F30" s="53"/>
      <c r="G30" s="53"/>
      <c r="H30" s="53"/>
      <c r="I30" s="64"/>
    </row>
    <row r="31" ht="25.5" hidden="1" customHeight="1" spans="1:10">
      <c r="A31" s="21"/>
      <c r="B31" s="49" t="s">
        <v>67</v>
      </c>
      <c r="C31" s="54" t="str">
        <f>"（时长"&amp;TEXT((C30-B30)/365,"0.00")&amp;"年）"</f>
        <v>（时长0.00年）</v>
      </c>
      <c r="D31" s="55" t="s">
        <v>61</v>
      </c>
      <c r="E31" s="55"/>
      <c r="F31" s="55"/>
      <c r="G31" s="55"/>
      <c r="H31" s="55"/>
      <c r="I31" s="55"/>
      <c r="J31" s="65"/>
    </row>
    <row r="32" ht="72" hidden="1" customHeight="1" spans="1:10">
      <c r="A32" s="21"/>
      <c r="B32" s="57"/>
      <c r="C32" s="57"/>
      <c r="D32" s="57"/>
      <c r="E32" s="57"/>
      <c r="F32" s="57"/>
      <c r="G32" s="57"/>
      <c r="H32" s="57"/>
      <c r="I32" s="57"/>
      <c r="J32" s="67"/>
    </row>
    <row r="33" hidden="1" spans="1:10">
      <c r="A33" s="21"/>
      <c r="B33" s="58"/>
      <c r="C33" s="58"/>
      <c r="D33" s="58"/>
      <c r="E33" s="58"/>
      <c r="F33" s="58"/>
      <c r="G33" s="58"/>
      <c r="H33" s="58"/>
      <c r="I33" s="58"/>
      <c r="J33" s="67"/>
    </row>
    <row r="34" ht="25.5" hidden="1" customHeight="1" spans="1:9">
      <c r="A34" s="48">
        <v>4</v>
      </c>
      <c r="B34" s="49" t="s">
        <v>63</v>
      </c>
      <c r="C34" s="49" t="s">
        <v>64</v>
      </c>
      <c r="D34" s="59" t="s">
        <v>51</v>
      </c>
      <c r="E34" s="49"/>
      <c r="F34" s="49" t="s">
        <v>52</v>
      </c>
      <c r="G34" s="49" t="s">
        <v>53</v>
      </c>
      <c r="H34" s="49" t="s">
        <v>54</v>
      </c>
      <c r="I34" s="49" t="s">
        <v>55</v>
      </c>
    </row>
    <row r="35" ht="25.5" hidden="1" customHeight="1" spans="1:9">
      <c r="A35" s="21"/>
      <c r="B35" s="52"/>
      <c r="C35" s="52"/>
      <c r="D35" s="53"/>
      <c r="E35" s="53"/>
      <c r="F35" s="53"/>
      <c r="G35" s="53"/>
      <c r="H35" s="53"/>
      <c r="I35" s="64"/>
    </row>
    <row r="36" ht="25.5" hidden="1" customHeight="1" spans="1:10">
      <c r="A36" s="21"/>
      <c r="B36" s="49" t="s">
        <v>67</v>
      </c>
      <c r="C36" s="54" t="str">
        <f>"（时长"&amp;TEXT((C35-B35)/365,"0.00")&amp;"年）"</f>
        <v>（时长0.00年）</v>
      </c>
      <c r="D36" s="55" t="s">
        <v>61</v>
      </c>
      <c r="E36" s="55"/>
      <c r="F36" s="55"/>
      <c r="G36" s="55"/>
      <c r="H36" s="55"/>
      <c r="I36" s="55"/>
      <c r="J36" s="65"/>
    </row>
    <row r="37" ht="72" hidden="1" customHeight="1" spans="1:10">
      <c r="A37" s="21"/>
      <c r="B37" s="57"/>
      <c r="C37" s="57"/>
      <c r="D37" s="57"/>
      <c r="E37" s="57"/>
      <c r="F37" s="57"/>
      <c r="G37" s="57"/>
      <c r="H37" s="57"/>
      <c r="I37" s="57"/>
      <c r="J37" s="67"/>
    </row>
    <row r="38" hidden="1" spans="1:10">
      <c r="A38" s="21"/>
      <c r="B38" s="58"/>
      <c r="C38" s="58"/>
      <c r="D38" s="58"/>
      <c r="E38" s="58"/>
      <c r="F38" s="58"/>
      <c r="G38" s="58"/>
      <c r="H38" s="58"/>
      <c r="I38" s="58"/>
      <c r="J38" s="67"/>
    </row>
    <row r="39" ht="25.5" hidden="1" customHeight="1" spans="1:9">
      <c r="A39" s="48">
        <v>5</v>
      </c>
      <c r="B39" s="49" t="s">
        <v>63</v>
      </c>
      <c r="C39" s="49" t="s">
        <v>64</v>
      </c>
      <c r="D39" s="59" t="s">
        <v>51</v>
      </c>
      <c r="E39" s="49"/>
      <c r="F39" s="49" t="s">
        <v>52</v>
      </c>
      <c r="G39" s="49" t="s">
        <v>53</v>
      </c>
      <c r="H39" s="49" t="s">
        <v>54</v>
      </c>
      <c r="I39" s="49" t="s">
        <v>55</v>
      </c>
    </row>
    <row r="40" ht="25.5" hidden="1" customHeight="1" spans="1:9">
      <c r="A40" s="21"/>
      <c r="B40" s="52"/>
      <c r="C40" s="52"/>
      <c r="D40" s="53"/>
      <c r="E40" s="53"/>
      <c r="F40" s="53"/>
      <c r="G40" s="53"/>
      <c r="H40" s="53"/>
      <c r="I40" s="64"/>
    </row>
    <row r="41" ht="25.5" hidden="1" customHeight="1" spans="1:10">
      <c r="A41" s="21"/>
      <c r="B41" s="49" t="s">
        <v>67</v>
      </c>
      <c r="C41" s="54" t="str">
        <f>"（时长"&amp;TEXT((C40-B40)/365,"0.00")&amp;"年）"</f>
        <v>（时长0.00年）</v>
      </c>
      <c r="D41" s="55" t="s">
        <v>61</v>
      </c>
      <c r="E41" s="55"/>
      <c r="F41" s="55"/>
      <c r="G41" s="55"/>
      <c r="H41" s="55"/>
      <c r="I41" s="55"/>
      <c r="J41" s="65"/>
    </row>
    <row r="42" ht="72" hidden="1" customHeight="1" spans="1:10">
      <c r="A42" s="21"/>
      <c r="B42" s="57"/>
      <c r="C42" s="57"/>
      <c r="D42" s="57"/>
      <c r="E42" s="57"/>
      <c r="F42" s="57"/>
      <c r="G42" s="57"/>
      <c r="H42" s="57"/>
      <c r="I42" s="57"/>
      <c r="J42" s="67"/>
    </row>
    <row r="43" hidden="1" spans="1:10">
      <c r="A43" s="21"/>
      <c r="B43" s="58"/>
      <c r="C43" s="58"/>
      <c r="D43" s="58"/>
      <c r="E43" s="58"/>
      <c r="F43" s="58"/>
      <c r="G43" s="58"/>
      <c r="H43" s="58"/>
      <c r="I43" s="58"/>
      <c r="J43" s="67"/>
    </row>
    <row r="44" ht="25.5" hidden="1" customHeight="1" spans="1:9">
      <c r="A44" s="48">
        <v>6</v>
      </c>
      <c r="B44" s="49" t="s">
        <v>63</v>
      </c>
      <c r="C44" s="49" t="s">
        <v>64</v>
      </c>
      <c r="D44" s="59" t="s">
        <v>51</v>
      </c>
      <c r="E44" s="49"/>
      <c r="F44" s="49" t="s">
        <v>52</v>
      </c>
      <c r="G44" s="49" t="s">
        <v>53</v>
      </c>
      <c r="H44" s="49" t="s">
        <v>54</v>
      </c>
      <c r="I44" s="49" t="s">
        <v>55</v>
      </c>
    </row>
    <row r="45" ht="25.5" hidden="1" customHeight="1" spans="1:9">
      <c r="A45" s="21"/>
      <c r="B45" s="52"/>
      <c r="C45" s="52"/>
      <c r="D45" s="53"/>
      <c r="E45" s="53"/>
      <c r="F45" s="53"/>
      <c r="G45" s="53"/>
      <c r="H45" s="53"/>
      <c r="I45" s="64"/>
    </row>
    <row r="46" ht="25.5" hidden="1" customHeight="1" spans="1:10">
      <c r="A46" s="21"/>
      <c r="B46" s="49" t="s">
        <v>67</v>
      </c>
      <c r="C46" s="54" t="str">
        <f>"（时长"&amp;TEXT((C45-B45)/365,"0.00")&amp;"年）"</f>
        <v>（时长0.00年）</v>
      </c>
      <c r="D46" s="55" t="s">
        <v>61</v>
      </c>
      <c r="E46" s="55"/>
      <c r="F46" s="55"/>
      <c r="G46" s="55"/>
      <c r="H46" s="55"/>
      <c r="I46" s="55"/>
      <c r="J46" s="65"/>
    </row>
    <row r="47" ht="72" hidden="1" customHeight="1" spans="1:10">
      <c r="A47" s="21"/>
      <c r="B47" s="57"/>
      <c r="C47" s="57"/>
      <c r="D47" s="57"/>
      <c r="E47" s="57"/>
      <c r="F47" s="57"/>
      <c r="G47" s="57"/>
      <c r="H47" s="57"/>
      <c r="I47" s="57"/>
      <c r="J47" s="67"/>
    </row>
    <row r="48" hidden="1" spans="1:10">
      <c r="A48" s="21"/>
      <c r="B48" s="58"/>
      <c r="C48" s="58"/>
      <c r="D48" s="58"/>
      <c r="E48" s="58"/>
      <c r="F48" s="58"/>
      <c r="G48" s="58"/>
      <c r="H48" s="58"/>
      <c r="I48" s="58"/>
      <c r="J48" s="67"/>
    </row>
    <row r="49" ht="25.5" hidden="1" customHeight="1" spans="1:9">
      <c r="A49" s="48">
        <v>7</v>
      </c>
      <c r="B49" s="49" t="s">
        <v>63</v>
      </c>
      <c r="C49" s="49" t="s">
        <v>64</v>
      </c>
      <c r="D49" s="59" t="s">
        <v>51</v>
      </c>
      <c r="E49" s="49"/>
      <c r="F49" s="49" t="s">
        <v>52</v>
      </c>
      <c r="G49" s="49" t="s">
        <v>53</v>
      </c>
      <c r="H49" s="49" t="s">
        <v>54</v>
      </c>
      <c r="I49" s="49" t="s">
        <v>55</v>
      </c>
    </row>
    <row r="50" ht="25.5" hidden="1" customHeight="1" spans="1:9">
      <c r="A50" s="21"/>
      <c r="B50" s="52"/>
      <c r="C50" s="52"/>
      <c r="D50" s="53"/>
      <c r="E50" s="53"/>
      <c r="F50" s="53"/>
      <c r="G50" s="53"/>
      <c r="H50" s="53"/>
      <c r="I50" s="64"/>
    </row>
    <row r="51" ht="25.5" hidden="1" customHeight="1" spans="1:10">
      <c r="A51" s="21"/>
      <c r="B51" s="49" t="s">
        <v>67</v>
      </c>
      <c r="C51" s="54" t="str">
        <f>"（时长"&amp;TEXT((C50-B50)/365,"0.00")&amp;"年）"</f>
        <v>（时长0.00年）</v>
      </c>
      <c r="D51" s="55" t="s">
        <v>61</v>
      </c>
      <c r="E51" s="55"/>
      <c r="F51" s="55"/>
      <c r="G51" s="55"/>
      <c r="H51" s="55"/>
      <c r="I51" s="55"/>
      <c r="J51" s="65"/>
    </row>
    <row r="52" ht="72" hidden="1" customHeight="1" spans="1:10">
      <c r="A52" s="21"/>
      <c r="B52" s="57"/>
      <c r="C52" s="57"/>
      <c r="D52" s="57"/>
      <c r="E52" s="57"/>
      <c r="F52" s="57"/>
      <c r="G52" s="57"/>
      <c r="H52" s="57"/>
      <c r="I52" s="57"/>
      <c r="J52" s="67"/>
    </row>
    <row r="53" hidden="1" spans="1:10">
      <c r="A53" s="21"/>
      <c r="B53" s="58"/>
      <c r="C53" s="58"/>
      <c r="D53" s="58"/>
      <c r="E53" s="58"/>
      <c r="F53" s="58"/>
      <c r="G53" s="58"/>
      <c r="H53" s="58"/>
      <c r="I53" s="58"/>
      <c r="J53" s="67"/>
    </row>
    <row r="54" ht="25.5" hidden="1" customHeight="1" spans="1:9">
      <c r="A54" s="48">
        <v>8</v>
      </c>
      <c r="B54" s="49" t="s">
        <v>63</v>
      </c>
      <c r="C54" s="49" t="s">
        <v>64</v>
      </c>
      <c r="D54" s="59" t="s">
        <v>51</v>
      </c>
      <c r="E54" s="49"/>
      <c r="F54" s="49" t="s">
        <v>52</v>
      </c>
      <c r="G54" s="49" t="s">
        <v>53</v>
      </c>
      <c r="H54" s="49" t="s">
        <v>54</v>
      </c>
      <c r="I54" s="49" t="s">
        <v>55</v>
      </c>
    </row>
    <row r="55" ht="25.5" hidden="1" customHeight="1" spans="1:9">
      <c r="A55" s="21"/>
      <c r="B55" s="52"/>
      <c r="C55" s="52"/>
      <c r="D55" s="53"/>
      <c r="E55" s="53"/>
      <c r="F55" s="53"/>
      <c r="G55" s="53"/>
      <c r="H55" s="53"/>
      <c r="I55" s="64"/>
    </row>
    <row r="56" ht="25.5" hidden="1" customHeight="1" spans="1:10">
      <c r="A56" s="21"/>
      <c r="B56" s="49" t="s">
        <v>67</v>
      </c>
      <c r="C56" s="54" t="str">
        <f>"（时长"&amp;TEXT((C55-B55)/365,"0.00")&amp;"年）"</f>
        <v>（时长0.00年）</v>
      </c>
      <c r="D56" s="55" t="s">
        <v>61</v>
      </c>
      <c r="E56" s="55"/>
      <c r="F56" s="55"/>
      <c r="G56" s="55"/>
      <c r="H56" s="55"/>
      <c r="I56" s="55"/>
      <c r="J56" s="65"/>
    </row>
    <row r="57" ht="72" hidden="1" customHeight="1" spans="1:10">
      <c r="A57" s="21"/>
      <c r="B57" s="57"/>
      <c r="C57" s="57"/>
      <c r="D57" s="57"/>
      <c r="E57" s="57"/>
      <c r="F57" s="57"/>
      <c r="G57" s="57"/>
      <c r="H57" s="57"/>
      <c r="I57" s="57"/>
      <c r="J57" s="67"/>
    </row>
    <row r="58" hidden="1" spans="1:10">
      <c r="A58" s="21"/>
      <c r="B58" s="58"/>
      <c r="C58" s="58"/>
      <c r="D58" s="58"/>
      <c r="E58" s="58"/>
      <c r="F58" s="58"/>
      <c r="G58" s="58"/>
      <c r="H58" s="58"/>
      <c r="I58" s="58"/>
      <c r="J58" s="67"/>
    </row>
    <row r="59" ht="25.5" hidden="1" customHeight="1" spans="1:9">
      <c r="A59" s="48">
        <v>9</v>
      </c>
      <c r="B59" s="49" t="s">
        <v>63</v>
      </c>
      <c r="C59" s="49" t="s">
        <v>64</v>
      </c>
      <c r="D59" s="59" t="s">
        <v>51</v>
      </c>
      <c r="E59" s="49"/>
      <c r="F59" s="49" t="s">
        <v>52</v>
      </c>
      <c r="G59" s="49" t="s">
        <v>53</v>
      </c>
      <c r="H59" s="49" t="s">
        <v>54</v>
      </c>
      <c r="I59" s="49" t="s">
        <v>55</v>
      </c>
    </row>
    <row r="60" ht="25.5" hidden="1" customHeight="1" spans="1:9">
      <c r="A60" s="21"/>
      <c r="B60" s="52"/>
      <c r="C60" s="52"/>
      <c r="D60" s="53"/>
      <c r="E60" s="53"/>
      <c r="F60" s="53"/>
      <c r="G60" s="53"/>
      <c r="H60" s="53"/>
      <c r="I60" s="64"/>
    </row>
    <row r="61" ht="25.5" hidden="1" customHeight="1" spans="1:10">
      <c r="A61" s="21"/>
      <c r="B61" s="49" t="s">
        <v>67</v>
      </c>
      <c r="C61" s="54" t="str">
        <f>"（时长"&amp;TEXT((C60-B60)/365,"0.00")&amp;"年）"</f>
        <v>（时长0.00年）</v>
      </c>
      <c r="D61" s="55" t="s">
        <v>61</v>
      </c>
      <c r="E61" s="55"/>
      <c r="F61" s="55"/>
      <c r="G61" s="55"/>
      <c r="H61" s="55"/>
      <c r="I61" s="55"/>
      <c r="J61" s="65"/>
    </row>
    <row r="62" ht="72" hidden="1" customHeight="1" spans="1:10">
      <c r="A62" s="21"/>
      <c r="B62" s="57"/>
      <c r="C62" s="57"/>
      <c r="D62" s="57"/>
      <c r="E62" s="57"/>
      <c r="F62" s="57"/>
      <c r="G62" s="57"/>
      <c r="H62" s="57"/>
      <c r="I62" s="57"/>
      <c r="J62" s="67"/>
    </row>
    <row r="63" hidden="1" spans="1:10">
      <c r="A63" s="21"/>
      <c r="B63" s="58"/>
      <c r="C63" s="58"/>
      <c r="D63" s="58"/>
      <c r="E63" s="58"/>
      <c r="F63" s="58"/>
      <c r="G63" s="58"/>
      <c r="H63" s="58"/>
      <c r="I63" s="58"/>
      <c r="J63" s="67"/>
    </row>
    <row r="64" ht="25.5" hidden="1" customHeight="1" spans="1:9">
      <c r="A64" s="48">
        <v>10</v>
      </c>
      <c r="B64" s="49" t="s">
        <v>63</v>
      </c>
      <c r="C64" s="49" t="s">
        <v>64</v>
      </c>
      <c r="D64" s="59" t="s">
        <v>51</v>
      </c>
      <c r="E64" s="49"/>
      <c r="F64" s="49" t="s">
        <v>52</v>
      </c>
      <c r="G64" s="49" t="s">
        <v>53</v>
      </c>
      <c r="H64" s="49" t="s">
        <v>54</v>
      </c>
      <c r="I64" s="49" t="s">
        <v>55</v>
      </c>
    </row>
    <row r="65" ht="25.5" hidden="1" customHeight="1" spans="1:9">
      <c r="A65" s="21"/>
      <c r="B65" s="52"/>
      <c r="C65" s="52"/>
      <c r="D65" s="53"/>
      <c r="E65" s="53"/>
      <c r="F65" s="53"/>
      <c r="G65" s="53"/>
      <c r="H65" s="53"/>
      <c r="I65" s="64"/>
    </row>
    <row r="66" ht="25.5" hidden="1" customHeight="1" spans="1:10">
      <c r="A66" s="21"/>
      <c r="B66" s="49" t="s">
        <v>67</v>
      </c>
      <c r="C66" s="54" t="str">
        <f>"（时长"&amp;TEXT((C65-B65)/365,"0.00")&amp;"年）"</f>
        <v>（时长0.00年）</v>
      </c>
      <c r="D66" s="55" t="s">
        <v>61</v>
      </c>
      <c r="E66" s="55"/>
      <c r="F66" s="55"/>
      <c r="G66" s="55"/>
      <c r="H66" s="55"/>
      <c r="I66" s="55"/>
      <c r="J66" s="65"/>
    </row>
    <row r="67" ht="72" hidden="1" customHeight="1" spans="1:10">
      <c r="A67" s="21"/>
      <c r="B67" s="57"/>
      <c r="C67" s="57"/>
      <c r="D67" s="57"/>
      <c r="E67" s="57"/>
      <c r="F67" s="57"/>
      <c r="G67" s="57"/>
      <c r="H67" s="57"/>
      <c r="I67" s="57"/>
      <c r="J67" s="67"/>
    </row>
    <row r="68" spans="1:10">
      <c r="A68" s="21"/>
      <c r="B68" s="58"/>
      <c r="C68" s="58"/>
      <c r="D68" s="58"/>
      <c r="E68" s="58"/>
      <c r="F68" s="58"/>
      <c r="H68" s="58"/>
      <c r="I68" s="58"/>
      <c r="J68" s="67"/>
    </row>
    <row r="69" ht="21.75" customHeight="1" spans="1:10">
      <c r="A69" s="19" t="s">
        <v>69</v>
      </c>
      <c r="B69" s="68"/>
      <c r="C69" s="68"/>
      <c r="D69" s="68"/>
      <c r="E69" s="68"/>
      <c r="F69" s="68"/>
      <c r="G69" s="68"/>
      <c r="H69" s="68"/>
      <c r="I69" s="68"/>
      <c r="J69" s="86"/>
    </row>
    <row r="70" ht="22.5" customHeight="1" spans="1:10">
      <c r="A70" s="48">
        <v>1</v>
      </c>
      <c r="B70" s="49" t="s">
        <v>49</v>
      </c>
      <c r="C70" s="49" t="s">
        <v>50</v>
      </c>
      <c r="D70" s="69" t="s">
        <v>70</v>
      </c>
      <c r="E70" s="70"/>
      <c r="F70" s="49" t="s">
        <v>71</v>
      </c>
      <c r="G70" s="49" t="s">
        <v>72</v>
      </c>
      <c r="H70" s="49" t="s">
        <v>54</v>
      </c>
      <c r="I70" s="49" t="s">
        <v>73</v>
      </c>
      <c r="J70" s="86"/>
    </row>
    <row r="71" ht="22.5" customHeight="1" spans="1:10">
      <c r="A71" s="71"/>
      <c r="B71" s="52">
        <v>42468</v>
      </c>
      <c r="C71" s="52">
        <v>42774</v>
      </c>
      <c r="D71" s="53" t="s">
        <v>74</v>
      </c>
      <c r="E71" s="53"/>
      <c r="F71" s="53">
        <v>20</v>
      </c>
      <c r="G71" s="72" t="s">
        <v>75</v>
      </c>
      <c r="H71" s="53" t="s">
        <v>58</v>
      </c>
      <c r="I71" s="64" t="s">
        <v>59</v>
      </c>
      <c r="J71" s="86"/>
    </row>
    <row r="72" ht="22.5" customHeight="1" spans="1:10">
      <c r="A72" s="71"/>
      <c r="B72" s="46" t="s">
        <v>76</v>
      </c>
      <c r="C72" s="54" t="str">
        <f>"（时长"&amp;TEXT((C71-B71)/365,"0.00")&amp;"年）"</f>
        <v>（时长0.84年）</v>
      </c>
      <c r="D72" s="42"/>
      <c r="E72" s="43"/>
      <c r="F72" s="43"/>
      <c r="G72" s="43"/>
      <c r="H72" s="43"/>
      <c r="I72" s="63"/>
      <c r="J72" s="87"/>
    </row>
    <row r="73" ht="33.75" customHeight="1" spans="1:10">
      <c r="A73" s="71"/>
      <c r="B73" s="56" t="s">
        <v>77</v>
      </c>
      <c r="C73" s="57"/>
      <c r="D73" s="73"/>
      <c r="E73" s="57"/>
      <c r="F73" s="57"/>
      <c r="G73" s="57"/>
      <c r="H73" s="57"/>
      <c r="I73" s="57"/>
      <c r="J73" s="86"/>
    </row>
    <row r="74" ht="22.5" customHeight="1" spans="1:10">
      <c r="A74" s="71"/>
      <c r="B74" s="46" t="s">
        <v>78</v>
      </c>
      <c r="C74" s="74"/>
      <c r="D74" s="75"/>
      <c r="E74" s="75"/>
      <c r="F74" s="46" t="s">
        <v>79</v>
      </c>
      <c r="G74" s="75"/>
      <c r="H74" s="75"/>
      <c r="I74" s="88"/>
      <c r="J74" s="86"/>
    </row>
    <row r="75" ht="21" customHeight="1" spans="1:10">
      <c r="A75" s="21"/>
      <c r="B75" s="76" t="s">
        <v>80</v>
      </c>
      <c r="C75" s="77"/>
      <c r="D75" s="77"/>
      <c r="E75" s="78"/>
      <c r="F75" s="76" t="s">
        <v>81</v>
      </c>
      <c r="G75" s="77"/>
      <c r="H75" s="77"/>
      <c r="I75" s="78"/>
      <c r="J75" s="61"/>
    </row>
    <row r="76" ht="22.5" customHeight="1" spans="1:10">
      <c r="A76" s="71"/>
      <c r="B76" s="44" t="s">
        <v>82</v>
      </c>
      <c r="C76" s="79"/>
      <c r="D76" s="80"/>
      <c r="E76" s="80"/>
      <c r="F76" s="46" t="s">
        <v>83</v>
      </c>
      <c r="G76" s="75"/>
      <c r="H76" s="75"/>
      <c r="I76" s="88"/>
      <c r="J76" s="86"/>
    </row>
    <row r="77" ht="36" customHeight="1" spans="1:10">
      <c r="A77" s="71"/>
      <c r="B77" s="76" t="s">
        <v>84</v>
      </c>
      <c r="C77" s="77"/>
      <c r="D77" s="77"/>
      <c r="E77" s="78"/>
      <c r="F77" s="76" t="s">
        <v>85</v>
      </c>
      <c r="G77" s="81"/>
      <c r="H77" s="81"/>
      <c r="I77" s="89"/>
      <c r="J77" s="86"/>
    </row>
    <row r="78" spans="1:10">
      <c r="A78" s="21"/>
      <c r="J78" s="61"/>
    </row>
    <row r="79" ht="27.75" customHeight="1" spans="1:10">
      <c r="A79" s="48">
        <v>2</v>
      </c>
      <c r="B79" s="49" t="s">
        <v>63</v>
      </c>
      <c r="C79" s="49" t="s">
        <v>64</v>
      </c>
      <c r="D79" s="82" t="s">
        <v>70</v>
      </c>
      <c r="E79" s="83"/>
      <c r="F79" s="49" t="s">
        <v>71</v>
      </c>
      <c r="G79" s="49" t="s">
        <v>72</v>
      </c>
      <c r="H79" s="49" t="s">
        <v>54</v>
      </c>
      <c r="I79" s="49" t="s">
        <v>73</v>
      </c>
      <c r="J79" s="61"/>
    </row>
    <row r="80" ht="27.75" customHeight="1" spans="1:9">
      <c r="A80" s="21"/>
      <c r="B80" s="52">
        <v>42815</v>
      </c>
      <c r="C80" s="52">
        <v>43320</v>
      </c>
      <c r="D80" s="53" t="s">
        <v>86</v>
      </c>
      <c r="E80" s="53"/>
      <c r="F80" s="53">
        <v>500</v>
      </c>
      <c r="G80" s="84" t="s">
        <v>87</v>
      </c>
      <c r="H80" s="53" t="s">
        <v>66</v>
      </c>
      <c r="I80" s="64" t="s">
        <v>59</v>
      </c>
    </row>
    <row r="81" ht="27.75" customHeight="1" spans="1:10">
      <c r="A81" s="21"/>
      <c r="B81" s="46" t="s">
        <v>76</v>
      </c>
      <c r="C81" s="54" t="str">
        <f>"（时长"&amp;TEXT((C80-B80)/365,"0.00")&amp;"年）"</f>
        <v>（时长1.38年）</v>
      </c>
      <c r="D81" s="42"/>
      <c r="E81" s="43"/>
      <c r="F81" s="43"/>
      <c r="G81" s="43"/>
      <c r="H81" s="43"/>
      <c r="I81" s="63"/>
      <c r="J81" s="61"/>
    </row>
    <row r="82" ht="30" customHeight="1" spans="1:9">
      <c r="A82" s="21"/>
      <c r="B82" s="56" t="s">
        <v>88</v>
      </c>
      <c r="C82" s="57"/>
      <c r="D82" s="73"/>
      <c r="E82" s="57"/>
      <c r="F82" s="57"/>
      <c r="G82" s="57"/>
      <c r="H82" s="57"/>
      <c r="I82" s="57"/>
    </row>
    <row r="83" ht="27.75" customHeight="1" spans="1:9">
      <c r="A83" s="21"/>
      <c r="B83" s="46" t="s">
        <v>78</v>
      </c>
      <c r="C83" s="74"/>
      <c r="D83" s="75"/>
      <c r="E83" s="75"/>
      <c r="F83" s="46" t="s">
        <v>89</v>
      </c>
      <c r="G83" s="75"/>
      <c r="H83" s="75"/>
      <c r="I83" s="88"/>
    </row>
    <row r="84" ht="25" customHeight="1" spans="1:9">
      <c r="A84" s="21"/>
      <c r="B84" s="76" t="s">
        <v>90</v>
      </c>
      <c r="C84" s="77"/>
      <c r="D84" s="77"/>
      <c r="E84" s="78"/>
      <c r="F84" s="76" t="s">
        <v>91</v>
      </c>
      <c r="G84" s="77"/>
      <c r="H84" s="77"/>
      <c r="I84" s="78"/>
    </row>
    <row r="85" ht="27.75" customHeight="1" spans="1:9">
      <c r="A85" s="21"/>
      <c r="B85" s="45" t="s">
        <v>82</v>
      </c>
      <c r="C85" s="79"/>
      <c r="D85" s="80"/>
      <c r="E85" s="80"/>
      <c r="F85" s="46" t="s">
        <v>83</v>
      </c>
      <c r="G85" s="75"/>
      <c r="H85" s="75"/>
      <c r="I85" s="88"/>
    </row>
    <row r="86" ht="33" customHeight="1" spans="1:9">
      <c r="A86" s="85"/>
      <c r="B86" s="76"/>
      <c r="C86" s="77"/>
      <c r="D86" s="77"/>
      <c r="E86" s="78"/>
      <c r="F86" s="76" t="s">
        <v>92</v>
      </c>
      <c r="G86" s="81"/>
      <c r="H86" s="81"/>
      <c r="I86" s="89"/>
    </row>
    <row r="87" spans="1:10">
      <c r="A87" s="21"/>
      <c r="J87" s="61"/>
    </row>
    <row r="88" ht="27.75" customHeight="1" spans="1:10">
      <c r="A88" s="48">
        <v>3</v>
      </c>
      <c r="B88" s="49" t="s">
        <v>63</v>
      </c>
      <c r="C88" s="49" t="s">
        <v>64</v>
      </c>
      <c r="D88" s="82" t="s">
        <v>70</v>
      </c>
      <c r="E88" s="83"/>
      <c r="F88" s="49" t="s">
        <v>71</v>
      </c>
      <c r="G88" s="49" t="s">
        <v>72</v>
      </c>
      <c r="H88" s="49" t="s">
        <v>54</v>
      </c>
      <c r="I88" s="49" t="s">
        <v>73</v>
      </c>
      <c r="J88" s="61"/>
    </row>
    <row r="89" ht="27.75" customHeight="1" spans="1:9">
      <c r="A89" s="21"/>
      <c r="B89" s="52">
        <v>43321</v>
      </c>
      <c r="C89" s="52">
        <v>43551</v>
      </c>
      <c r="D89" s="53" t="s">
        <v>93</v>
      </c>
      <c r="E89" s="53"/>
      <c r="F89" s="53">
        <v>500</v>
      </c>
      <c r="G89" s="84" t="s">
        <v>94</v>
      </c>
      <c r="H89" s="53" t="s">
        <v>66</v>
      </c>
      <c r="I89" s="64" t="s">
        <v>59</v>
      </c>
    </row>
    <row r="90" ht="27.75" customHeight="1" spans="1:10">
      <c r="A90" s="21"/>
      <c r="B90" s="46" t="s">
        <v>76</v>
      </c>
      <c r="C90" s="54" t="str">
        <f>"（时长"&amp;TEXT((C89-B89)/365,"0.00")&amp;"年）"</f>
        <v>（时长0.63年）</v>
      </c>
      <c r="D90" s="42"/>
      <c r="E90" s="43"/>
      <c r="F90" s="43"/>
      <c r="G90" s="43"/>
      <c r="H90" s="43"/>
      <c r="I90" s="63"/>
      <c r="J90" s="61"/>
    </row>
    <row r="91" ht="27.75" customHeight="1" spans="1:9">
      <c r="A91" s="21"/>
      <c r="B91" s="56" t="s">
        <v>95</v>
      </c>
      <c r="C91" s="57"/>
      <c r="D91" s="73"/>
      <c r="E91" s="57"/>
      <c r="F91" s="57"/>
      <c r="G91" s="57"/>
      <c r="H91" s="57"/>
      <c r="I91" s="57"/>
    </row>
    <row r="92" ht="27.75" customHeight="1" spans="1:9">
      <c r="A92" s="21"/>
      <c r="B92" s="46" t="s">
        <v>78</v>
      </c>
      <c r="C92" s="74"/>
      <c r="D92" s="75"/>
      <c r="E92" s="75"/>
      <c r="F92" s="46" t="s">
        <v>89</v>
      </c>
      <c r="G92" s="75"/>
      <c r="H92" s="75"/>
      <c r="I92" s="88"/>
    </row>
    <row r="93" ht="22" customHeight="1" spans="1:9">
      <c r="A93" s="21"/>
      <c r="B93" s="76" t="s">
        <v>96</v>
      </c>
      <c r="C93" s="77"/>
      <c r="D93" s="77"/>
      <c r="E93" s="78"/>
      <c r="F93" s="76" t="s">
        <v>91</v>
      </c>
      <c r="G93" s="77"/>
      <c r="H93" s="77"/>
      <c r="I93" s="78"/>
    </row>
    <row r="94" ht="27.75" customHeight="1" spans="1:9">
      <c r="A94" s="21"/>
      <c r="B94" s="45" t="s">
        <v>82</v>
      </c>
      <c r="C94" s="79"/>
      <c r="D94" s="80"/>
      <c r="E94" s="80"/>
      <c r="F94" s="46" t="s">
        <v>83</v>
      </c>
      <c r="G94" s="75"/>
      <c r="H94" s="75"/>
      <c r="I94" s="88"/>
    </row>
    <row r="95" ht="29" customHeight="1" spans="1:9">
      <c r="A95" s="85"/>
      <c r="B95" s="76" t="s">
        <v>97</v>
      </c>
      <c r="C95" s="77"/>
      <c r="D95" s="77"/>
      <c r="E95" s="78"/>
      <c r="F95" s="76" t="s">
        <v>98</v>
      </c>
      <c r="G95" s="81"/>
      <c r="H95" s="81"/>
      <c r="I95" s="89"/>
    </row>
    <row r="96" spans="1:10">
      <c r="A96" s="21"/>
      <c r="J96" s="61"/>
    </row>
    <row r="97" ht="27.75" hidden="1" customHeight="1" spans="1:10">
      <c r="A97" s="48">
        <v>4</v>
      </c>
      <c r="B97" s="49" t="s">
        <v>63</v>
      </c>
      <c r="C97" s="49" t="s">
        <v>64</v>
      </c>
      <c r="D97" s="82" t="s">
        <v>70</v>
      </c>
      <c r="E97" s="83"/>
      <c r="F97" s="49" t="s">
        <v>71</v>
      </c>
      <c r="G97" s="49" t="s">
        <v>72</v>
      </c>
      <c r="H97" s="49" t="s">
        <v>54</v>
      </c>
      <c r="I97" s="49" t="s">
        <v>73</v>
      </c>
      <c r="J97" s="61"/>
    </row>
    <row r="98" ht="27.75" hidden="1" customHeight="1" spans="1:9">
      <c r="A98" s="21"/>
      <c r="B98" s="52"/>
      <c r="C98" s="52"/>
      <c r="D98" s="53"/>
      <c r="E98" s="53"/>
      <c r="F98" s="53"/>
      <c r="G98" s="53"/>
      <c r="H98" s="53"/>
      <c r="I98" s="64"/>
    </row>
    <row r="99" ht="27.75" hidden="1" customHeight="1" spans="1:10">
      <c r="A99" s="21"/>
      <c r="B99" s="46" t="s">
        <v>76</v>
      </c>
      <c r="C99" s="54" t="str">
        <f>"（时长"&amp;TEXT((C98-B98)/365,"0.00")&amp;"年）"</f>
        <v>（时长0.00年）</v>
      </c>
      <c r="D99" s="42"/>
      <c r="E99" s="43"/>
      <c r="F99" s="43"/>
      <c r="G99" s="43"/>
      <c r="H99" s="43"/>
      <c r="I99" s="63"/>
      <c r="J99" s="61"/>
    </row>
    <row r="100" ht="27.75" hidden="1" customHeight="1" spans="1:9">
      <c r="A100" s="21"/>
      <c r="B100" s="57"/>
      <c r="C100" s="57"/>
      <c r="D100" s="73"/>
      <c r="E100" s="57"/>
      <c r="F100" s="57"/>
      <c r="G100" s="57"/>
      <c r="H100" s="57"/>
      <c r="I100" s="57"/>
    </row>
    <row r="101" ht="27.75" hidden="1" customHeight="1" spans="1:9">
      <c r="A101" s="21"/>
      <c r="B101" s="46" t="s">
        <v>78</v>
      </c>
      <c r="C101" s="74"/>
      <c r="D101" s="75"/>
      <c r="E101" s="75"/>
      <c r="F101" s="46" t="s">
        <v>89</v>
      </c>
      <c r="G101" s="75"/>
      <c r="H101" s="75"/>
      <c r="I101" s="88"/>
    </row>
    <row r="102" ht="54.75" hidden="1" customHeight="1" spans="1:9">
      <c r="A102" s="21"/>
      <c r="B102" s="76"/>
      <c r="C102" s="77"/>
      <c r="D102" s="77"/>
      <c r="E102" s="78"/>
      <c r="F102" s="76"/>
      <c r="G102" s="77"/>
      <c r="H102" s="77"/>
      <c r="I102" s="78"/>
    </row>
    <row r="103" ht="27.75" hidden="1" customHeight="1" spans="1:9">
      <c r="A103" s="21"/>
      <c r="B103" s="45" t="s">
        <v>82</v>
      </c>
      <c r="C103" s="79"/>
      <c r="D103" s="80"/>
      <c r="E103" s="80"/>
      <c r="F103" s="46" t="s">
        <v>83</v>
      </c>
      <c r="G103" s="75"/>
      <c r="H103" s="75"/>
      <c r="I103" s="88"/>
    </row>
    <row r="104" ht="67.5" hidden="1" customHeight="1" spans="1:9">
      <c r="A104" s="85"/>
      <c r="B104" s="76"/>
      <c r="C104" s="77"/>
      <c r="D104" s="77"/>
      <c r="E104" s="78"/>
      <c r="F104" s="76"/>
      <c r="G104" s="81"/>
      <c r="H104" s="81"/>
      <c r="I104" s="89"/>
    </row>
    <row r="105" hidden="1" spans="1:10">
      <c r="A105" s="21"/>
      <c r="J105" s="61"/>
    </row>
    <row r="106" ht="27.75" hidden="1" customHeight="1" spans="1:10">
      <c r="A106" s="48">
        <v>5</v>
      </c>
      <c r="B106" s="49" t="s">
        <v>63</v>
      </c>
      <c r="C106" s="49" t="s">
        <v>64</v>
      </c>
      <c r="D106" s="82" t="s">
        <v>70</v>
      </c>
      <c r="E106" s="83"/>
      <c r="F106" s="49" t="s">
        <v>71</v>
      </c>
      <c r="G106" s="49" t="s">
        <v>72</v>
      </c>
      <c r="H106" s="49" t="s">
        <v>54</v>
      </c>
      <c r="I106" s="49" t="s">
        <v>73</v>
      </c>
      <c r="J106" s="61"/>
    </row>
    <row r="107" ht="27.75" hidden="1" customHeight="1" spans="1:9">
      <c r="A107" s="21"/>
      <c r="B107" s="52"/>
      <c r="C107" s="52"/>
      <c r="D107" s="53"/>
      <c r="E107" s="53"/>
      <c r="F107" s="53"/>
      <c r="G107" s="53"/>
      <c r="H107" s="53"/>
      <c r="I107" s="64"/>
    </row>
    <row r="108" ht="27.75" hidden="1" customHeight="1" spans="1:10">
      <c r="A108" s="21"/>
      <c r="B108" s="46" t="s">
        <v>76</v>
      </c>
      <c r="C108" s="54" t="str">
        <f>"（时长"&amp;TEXT((C107-B107)/365,"0.00")&amp;"年）"</f>
        <v>（时长0.00年）</v>
      </c>
      <c r="D108" s="42"/>
      <c r="E108" s="43"/>
      <c r="F108" s="43"/>
      <c r="G108" s="43"/>
      <c r="H108" s="43"/>
      <c r="I108" s="63"/>
      <c r="J108" s="61"/>
    </row>
    <row r="109" ht="27.75" hidden="1" customHeight="1" spans="1:9">
      <c r="A109" s="21"/>
      <c r="B109" s="57"/>
      <c r="C109" s="57"/>
      <c r="D109" s="73"/>
      <c r="E109" s="57"/>
      <c r="F109" s="57"/>
      <c r="G109" s="57"/>
      <c r="H109" s="57"/>
      <c r="I109" s="57"/>
    </row>
    <row r="110" ht="27.75" hidden="1" customHeight="1" spans="1:9">
      <c r="A110" s="21"/>
      <c r="B110" s="46" t="s">
        <v>78</v>
      </c>
      <c r="C110" s="74"/>
      <c r="D110" s="75"/>
      <c r="E110" s="75"/>
      <c r="F110" s="46" t="s">
        <v>89</v>
      </c>
      <c r="G110" s="75"/>
      <c r="H110" s="75"/>
      <c r="I110" s="88"/>
    </row>
    <row r="111" ht="54.75" hidden="1" customHeight="1" spans="1:9">
      <c r="A111" s="21"/>
      <c r="B111" s="76"/>
      <c r="C111" s="77"/>
      <c r="D111" s="77"/>
      <c r="E111" s="78"/>
      <c r="F111" s="76"/>
      <c r="G111" s="77"/>
      <c r="H111" s="77"/>
      <c r="I111" s="78"/>
    </row>
    <row r="112" ht="27.75" hidden="1" customHeight="1" spans="1:9">
      <c r="A112" s="21"/>
      <c r="B112" s="45" t="s">
        <v>82</v>
      </c>
      <c r="C112" s="79"/>
      <c r="D112" s="80"/>
      <c r="E112" s="80"/>
      <c r="F112" s="46" t="s">
        <v>83</v>
      </c>
      <c r="G112" s="75"/>
      <c r="H112" s="75"/>
      <c r="I112" s="88"/>
    </row>
    <row r="113" ht="67.5" hidden="1" customHeight="1" spans="1:9">
      <c r="A113" s="85"/>
      <c r="B113" s="76"/>
      <c r="C113" s="77"/>
      <c r="D113" s="77"/>
      <c r="E113" s="78"/>
      <c r="F113" s="76"/>
      <c r="G113" s="81"/>
      <c r="H113" s="81"/>
      <c r="I113" s="89"/>
    </row>
    <row r="114" hidden="1" spans="1:10">
      <c r="A114" s="21"/>
      <c r="J114" s="61"/>
    </row>
    <row r="115" ht="27.75" hidden="1" customHeight="1" spans="1:10">
      <c r="A115" s="48">
        <v>6</v>
      </c>
      <c r="B115" s="49" t="s">
        <v>63</v>
      </c>
      <c r="C115" s="49" t="s">
        <v>64</v>
      </c>
      <c r="D115" s="82" t="s">
        <v>70</v>
      </c>
      <c r="E115" s="83"/>
      <c r="F115" s="49" t="s">
        <v>71</v>
      </c>
      <c r="G115" s="49" t="s">
        <v>72</v>
      </c>
      <c r="H115" s="49" t="s">
        <v>54</v>
      </c>
      <c r="I115" s="49" t="s">
        <v>73</v>
      </c>
      <c r="J115" s="61"/>
    </row>
    <row r="116" ht="27.75" hidden="1" customHeight="1" spans="1:9">
      <c r="A116" s="48"/>
      <c r="B116" s="52"/>
      <c r="C116" s="52"/>
      <c r="D116" s="53"/>
      <c r="E116" s="53"/>
      <c r="F116" s="53"/>
      <c r="G116" s="53"/>
      <c r="H116" s="53"/>
      <c r="I116" s="64"/>
    </row>
    <row r="117" ht="27.75" hidden="1" customHeight="1" spans="1:10">
      <c r="A117" s="48"/>
      <c r="B117" s="46" t="s">
        <v>76</v>
      </c>
      <c r="C117" s="54" t="str">
        <f>"（时长"&amp;TEXT((C116-B116)/365,"0.00")&amp;"年）"</f>
        <v>（时长0.00年）</v>
      </c>
      <c r="D117" s="42"/>
      <c r="E117" s="43"/>
      <c r="F117" s="43"/>
      <c r="G117" s="43"/>
      <c r="H117" s="43"/>
      <c r="I117" s="63"/>
      <c r="J117" s="61"/>
    </row>
    <row r="118" ht="27.75" hidden="1" customHeight="1" spans="1:9">
      <c r="A118" s="48"/>
      <c r="B118" s="57"/>
      <c r="C118" s="57"/>
      <c r="D118" s="73"/>
      <c r="E118" s="57"/>
      <c r="F118" s="57"/>
      <c r="G118" s="57"/>
      <c r="H118" s="57"/>
      <c r="I118" s="57"/>
    </row>
    <row r="119" ht="27.75" hidden="1" customHeight="1" spans="1:9">
      <c r="A119" s="48"/>
      <c r="B119" s="46" t="s">
        <v>78</v>
      </c>
      <c r="C119" s="74"/>
      <c r="D119" s="75"/>
      <c r="E119" s="75"/>
      <c r="F119" s="46" t="s">
        <v>89</v>
      </c>
      <c r="G119" s="75"/>
      <c r="H119" s="75"/>
      <c r="I119" s="88"/>
    </row>
    <row r="120" ht="54.75" hidden="1" customHeight="1" spans="1:9">
      <c r="A120" s="48"/>
      <c r="B120" s="76"/>
      <c r="C120" s="77"/>
      <c r="D120" s="77"/>
      <c r="E120" s="78"/>
      <c r="F120" s="76"/>
      <c r="G120" s="77"/>
      <c r="H120" s="77"/>
      <c r="I120" s="78"/>
    </row>
    <row r="121" ht="27.75" hidden="1" customHeight="1" spans="1:9">
      <c r="A121" s="48"/>
      <c r="B121" s="45" t="s">
        <v>82</v>
      </c>
      <c r="C121" s="79"/>
      <c r="D121" s="80"/>
      <c r="E121" s="80"/>
      <c r="F121" s="46" t="s">
        <v>83</v>
      </c>
      <c r="G121" s="75"/>
      <c r="H121" s="75"/>
      <c r="I121" s="88"/>
    </row>
    <row r="122" ht="67.5" hidden="1" customHeight="1" spans="1:9">
      <c r="A122" s="48"/>
      <c r="B122" s="76"/>
      <c r="C122" s="77"/>
      <c r="D122" s="77"/>
      <c r="E122" s="78"/>
      <c r="F122" s="76"/>
      <c r="G122" s="81"/>
      <c r="H122" s="81"/>
      <c r="I122" s="89"/>
    </row>
    <row r="123" hidden="1" spans="1:10">
      <c r="A123" s="48"/>
      <c r="J123" s="61"/>
    </row>
    <row r="124" ht="27.75" hidden="1" customHeight="1" spans="1:10">
      <c r="A124" s="48">
        <v>7</v>
      </c>
      <c r="B124" s="49" t="s">
        <v>63</v>
      </c>
      <c r="C124" s="49" t="s">
        <v>64</v>
      </c>
      <c r="D124" s="82" t="s">
        <v>70</v>
      </c>
      <c r="E124" s="83"/>
      <c r="F124" s="49" t="s">
        <v>71</v>
      </c>
      <c r="G124" s="49" t="s">
        <v>72</v>
      </c>
      <c r="H124" s="49" t="s">
        <v>54</v>
      </c>
      <c r="I124" s="49" t="s">
        <v>73</v>
      </c>
      <c r="J124" s="61"/>
    </row>
    <row r="125" ht="27.75" hidden="1" customHeight="1" spans="1:9">
      <c r="A125" s="48"/>
      <c r="B125" s="52"/>
      <c r="C125" s="52"/>
      <c r="D125" s="53"/>
      <c r="E125" s="53"/>
      <c r="F125" s="53"/>
      <c r="G125" s="53"/>
      <c r="H125" s="53"/>
      <c r="I125" s="64"/>
    </row>
    <row r="126" ht="27.75" hidden="1" customHeight="1" spans="1:10">
      <c r="A126" s="48"/>
      <c r="B126" s="46" t="s">
        <v>76</v>
      </c>
      <c r="C126" s="54" t="str">
        <f>"（时长"&amp;TEXT((C125-B125)/365,"0.00")&amp;"年）"</f>
        <v>（时长0.00年）</v>
      </c>
      <c r="D126" s="42"/>
      <c r="E126" s="43"/>
      <c r="F126" s="43"/>
      <c r="G126" s="43"/>
      <c r="H126" s="43"/>
      <c r="I126" s="63"/>
      <c r="J126" s="61"/>
    </row>
    <row r="127" ht="27.75" hidden="1" customHeight="1" spans="1:9">
      <c r="A127" s="48"/>
      <c r="B127" s="57"/>
      <c r="C127" s="57"/>
      <c r="D127" s="73"/>
      <c r="E127" s="57"/>
      <c r="F127" s="57"/>
      <c r="G127" s="57"/>
      <c r="H127" s="57"/>
      <c r="I127" s="57"/>
    </row>
    <row r="128" ht="27.75" hidden="1" customHeight="1" spans="1:9">
      <c r="A128" s="48"/>
      <c r="B128" s="46" t="s">
        <v>78</v>
      </c>
      <c r="C128" s="74"/>
      <c r="D128" s="75"/>
      <c r="E128" s="75"/>
      <c r="F128" s="46" t="s">
        <v>89</v>
      </c>
      <c r="G128" s="75"/>
      <c r="H128" s="75"/>
      <c r="I128" s="88"/>
    </row>
    <row r="129" ht="54.75" hidden="1" customHeight="1" spans="1:9">
      <c r="A129" s="48"/>
      <c r="B129" s="76"/>
      <c r="C129" s="77"/>
      <c r="D129" s="77"/>
      <c r="E129" s="78"/>
      <c r="F129" s="76"/>
      <c r="G129" s="77"/>
      <c r="H129" s="77"/>
      <c r="I129" s="78"/>
    </row>
    <row r="130" ht="27.75" hidden="1" customHeight="1" spans="1:9">
      <c r="A130" s="48"/>
      <c r="B130" s="45" t="s">
        <v>82</v>
      </c>
      <c r="C130" s="79"/>
      <c r="D130" s="80"/>
      <c r="E130" s="80"/>
      <c r="F130" s="46" t="s">
        <v>83</v>
      </c>
      <c r="G130" s="75"/>
      <c r="H130" s="75"/>
      <c r="I130" s="88"/>
    </row>
    <row r="131" ht="67.5" hidden="1" customHeight="1" spans="1:9">
      <c r="A131" s="48"/>
      <c r="B131" s="76"/>
      <c r="C131" s="77"/>
      <c r="D131" s="77"/>
      <c r="E131" s="78"/>
      <c r="F131" s="76"/>
      <c r="G131" s="81"/>
      <c r="H131" s="81"/>
      <c r="I131" s="89"/>
    </row>
    <row r="132" hidden="1" spans="1:10">
      <c r="A132" s="48"/>
      <c r="J132" s="61"/>
    </row>
    <row r="133" ht="27.75" hidden="1" customHeight="1" spans="1:10">
      <c r="A133" s="48">
        <v>8</v>
      </c>
      <c r="B133" s="49" t="s">
        <v>63</v>
      </c>
      <c r="C133" s="49" t="s">
        <v>64</v>
      </c>
      <c r="D133" s="82" t="s">
        <v>70</v>
      </c>
      <c r="E133" s="83"/>
      <c r="F133" s="49" t="s">
        <v>71</v>
      </c>
      <c r="G133" s="49" t="s">
        <v>72</v>
      </c>
      <c r="H133" s="49" t="s">
        <v>54</v>
      </c>
      <c r="I133" s="49" t="s">
        <v>73</v>
      </c>
      <c r="J133" s="61"/>
    </row>
    <row r="134" ht="27.75" hidden="1" customHeight="1" spans="1:9">
      <c r="A134" s="48"/>
      <c r="B134" s="52"/>
      <c r="C134" s="52"/>
      <c r="D134" s="53"/>
      <c r="E134" s="53"/>
      <c r="F134" s="53"/>
      <c r="G134" s="53"/>
      <c r="H134" s="53"/>
      <c r="I134" s="64"/>
    </row>
    <row r="135" ht="27.75" hidden="1" customHeight="1" spans="1:10">
      <c r="A135" s="48"/>
      <c r="B135" s="46" t="s">
        <v>76</v>
      </c>
      <c r="C135" s="54" t="str">
        <f>"（时长"&amp;TEXT((C134-B134)/365,"0.00")&amp;"年）"</f>
        <v>（时长0.00年）</v>
      </c>
      <c r="D135" s="42"/>
      <c r="E135" s="43"/>
      <c r="F135" s="43"/>
      <c r="G135" s="43"/>
      <c r="H135" s="43"/>
      <c r="I135" s="63"/>
      <c r="J135" s="61"/>
    </row>
    <row r="136" ht="27.75" hidden="1" customHeight="1" spans="1:9">
      <c r="A136" s="48"/>
      <c r="B136" s="57"/>
      <c r="C136" s="57"/>
      <c r="D136" s="73"/>
      <c r="E136" s="57"/>
      <c r="F136" s="57"/>
      <c r="G136" s="57"/>
      <c r="H136" s="57"/>
      <c r="I136" s="57"/>
    </row>
    <row r="137" ht="27.75" hidden="1" customHeight="1" spans="1:9">
      <c r="A137" s="48"/>
      <c r="B137" s="46" t="s">
        <v>78</v>
      </c>
      <c r="C137" s="74"/>
      <c r="D137" s="75"/>
      <c r="E137" s="75"/>
      <c r="F137" s="46" t="s">
        <v>89</v>
      </c>
      <c r="G137" s="75"/>
      <c r="H137" s="75"/>
      <c r="I137" s="88"/>
    </row>
    <row r="138" ht="54.75" hidden="1" customHeight="1" spans="1:9">
      <c r="A138" s="48"/>
      <c r="B138" s="76"/>
      <c r="C138" s="77"/>
      <c r="D138" s="77"/>
      <c r="E138" s="78"/>
      <c r="F138" s="76"/>
      <c r="G138" s="77"/>
      <c r="H138" s="77"/>
      <c r="I138" s="78"/>
    </row>
    <row r="139" ht="27.75" hidden="1" customHeight="1" spans="1:9">
      <c r="A139" s="48"/>
      <c r="B139" s="45" t="s">
        <v>82</v>
      </c>
      <c r="C139" s="79"/>
      <c r="D139" s="80"/>
      <c r="E139" s="80"/>
      <c r="F139" s="46" t="s">
        <v>83</v>
      </c>
      <c r="G139" s="75"/>
      <c r="H139" s="75"/>
      <c r="I139" s="88"/>
    </row>
    <row r="140" ht="67.5" hidden="1" customHeight="1" spans="1:9">
      <c r="A140" s="48"/>
      <c r="B140" s="76"/>
      <c r="C140" s="77"/>
      <c r="D140" s="77"/>
      <c r="E140" s="78"/>
      <c r="F140" s="76"/>
      <c r="G140" s="81"/>
      <c r="H140" s="81"/>
      <c r="I140" s="89"/>
    </row>
    <row r="141" hidden="1" spans="1:10">
      <c r="A141" s="48"/>
      <c r="J141" s="61"/>
    </row>
    <row r="142" ht="27.75" hidden="1" customHeight="1" spans="1:10">
      <c r="A142" s="48">
        <v>9</v>
      </c>
      <c r="B142" s="49" t="s">
        <v>63</v>
      </c>
      <c r="C142" s="49" t="s">
        <v>64</v>
      </c>
      <c r="D142" s="82" t="s">
        <v>70</v>
      </c>
      <c r="E142" s="83"/>
      <c r="F142" s="49" t="s">
        <v>71</v>
      </c>
      <c r="G142" s="49" t="s">
        <v>72</v>
      </c>
      <c r="H142" s="49" t="s">
        <v>54</v>
      </c>
      <c r="I142" s="49" t="s">
        <v>73</v>
      </c>
      <c r="J142" s="61"/>
    </row>
    <row r="143" ht="27.75" hidden="1" customHeight="1" spans="1:9">
      <c r="A143" s="48"/>
      <c r="B143" s="52"/>
      <c r="C143" s="52"/>
      <c r="D143" s="53"/>
      <c r="E143" s="53"/>
      <c r="F143" s="53"/>
      <c r="G143" s="53"/>
      <c r="H143" s="53"/>
      <c r="I143" s="64"/>
    </row>
    <row r="144" ht="27.75" hidden="1" customHeight="1" spans="1:10">
      <c r="A144" s="48"/>
      <c r="B144" s="46" t="s">
        <v>76</v>
      </c>
      <c r="C144" s="54" t="str">
        <f>"（时长"&amp;TEXT((C143-B143)/365,"0.00")&amp;"年）"</f>
        <v>（时长0.00年）</v>
      </c>
      <c r="D144" s="42"/>
      <c r="E144" s="43"/>
      <c r="F144" s="43"/>
      <c r="G144" s="43"/>
      <c r="H144" s="43"/>
      <c r="I144" s="63"/>
      <c r="J144" s="61"/>
    </row>
    <row r="145" ht="27.75" hidden="1" customHeight="1" spans="1:9">
      <c r="A145" s="48"/>
      <c r="B145" s="57"/>
      <c r="C145" s="57"/>
      <c r="D145" s="73"/>
      <c r="E145" s="57"/>
      <c r="F145" s="57"/>
      <c r="G145" s="57"/>
      <c r="H145" s="57"/>
      <c r="I145" s="57"/>
    </row>
    <row r="146" ht="27.75" hidden="1" customHeight="1" spans="1:9">
      <c r="A146" s="48"/>
      <c r="B146" s="46" t="s">
        <v>78</v>
      </c>
      <c r="C146" s="74"/>
      <c r="D146" s="75"/>
      <c r="E146" s="75"/>
      <c r="F146" s="46" t="s">
        <v>89</v>
      </c>
      <c r="G146" s="75"/>
      <c r="H146" s="75"/>
      <c r="I146" s="88"/>
    </row>
    <row r="147" ht="54.75" hidden="1" customHeight="1" spans="1:9">
      <c r="A147" s="48"/>
      <c r="B147" s="76"/>
      <c r="C147" s="77"/>
      <c r="D147" s="77"/>
      <c r="E147" s="78"/>
      <c r="F147" s="76"/>
      <c r="G147" s="77"/>
      <c r="H147" s="77"/>
      <c r="I147" s="78"/>
    </row>
    <row r="148" ht="27.75" hidden="1" customHeight="1" spans="1:9">
      <c r="A148" s="48"/>
      <c r="B148" s="45" t="s">
        <v>82</v>
      </c>
      <c r="C148" s="79"/>
      <c r="D148" s="80"/>
      <c r="E148" s="80"/>
      <c r="F148" s="46" t="s">
        <v>83</v>
      </c>
      <c r="G148" s="75"/>
      <c r="H148" s="75"/>
      <c r="I148" s="88"/>
    </row>
    <row r="149" ht="67.5" hidden="1" customHeight="1" spans="1:9">
      <c r="A149" s="48"/>
      <c r="B149" s="76"/>
      <c r="C149" s="77"/>
      <c r="D149" s="77"/>
      <c r="E149" s="78"/>
      <c r="F149" s="76"/>
      <c r="G149" s="81"/>
      <c r="H149" s="81"/>
      <c r="I149" s="89"/>
    </row>
    <row r="150" hidden="1" spans="1:10">
      <c r="A150" s="48"/>
      <c r="J150" s="61"/>
    </row>
    <row r="151" ht="27.75" hidden="1" customHeight="1" spans="1:10">
      <c r="A151" s="48">
        <v>10</v>
      </c>
      <c r="B151" s="49" t="s">
        <v>63</v>
      </c>
      <c r="C151" s="49" t="s">
        <v>64</v>
      </c>
      <c r="D151" s="82" t="s">
        <v>70</v>
      </c>
      <c r="E151" s="83"/>
      <c r="F151" s="49" t="s">
        <v>71</v>
      </c>
      <c r="G151" s="49" t="s">
        <v>72</v>
      </c>
      <c r="H151" s="49" t="s">
        <v>54</v>
      </c>
      <c r="I151" s="49" t="s">
        <v>73</v>
      </c>
      <c r="J151" s="61"/>
    </row>
    <row r="152" ht="27.75" hidden="1" customHeight="1" spans="1:9">
      <c r="A152" s="48"/>
      <c r="B152" s="52"/>
      <c r="C152" s="52"/>
      <c r="D152" s="53"/>
      <c r="E152" s="53"/>
      <c r="F152" s="53"/>
      <c r="G152" s="53"/>
      <c r="H152" s="53"/>
      <c r="I152" s="64"/>
    </row>
    <row r="153" ht="27.75" hidden="1" customHeight="1" spans="1:10">
      <c r="A153" s="48"/>
      <c r="B153" s="46" t="s">
        <v>76</v>
      </c>
      <c r="C153" s="54" t="str">
        <f>"（时长"&amp;TEXT((C152-B152)/365,"0.00")&amp;"年）"</f>
        <v>（时长0.00年）</v>
      </c>
      <c r="D153" s="42"/>
      <c r="E153" s="43"/>
      <c r="F153" s="43"/>
      <c r="G153" s="43"/>
      <c r="H153" s="43"/>
      <c r="I153" s="63"/>
      <c r="J153" s="61"/>
    </row>
    <row r="154" ht="27.75" hidden="1" customHeight="1" spans="1:9">
      <c r="A154" s="48"/>
      <c r="B154" s="57"/>
      <c r="C154" s="57"/>
      <c r="D154" s="73"/>
      <c r="E154" s="57"/>
      <c r="F154" s="57"/>
      <c r="G154" s="57"/>
      <c r="H154" s="57"/>
      <c r="I154" s="57"/>
    </row>
    <row r="155" ht="27.75" hidden="1" customHeight="1" spans="1:9">
      <c r="A155" s="48"/>
      <c r="B155" s="46" t="s">
        <v>78</v>
      </c>
      <c r="C155" s="74"/>
      <c r="D155" s="75"/>
      <c r="E155" s="75"/>
      <c r="F155" s="46" t="s">
        <v>89</v>
      </c>
      <c r="G155" s="75"/>
      <c r="H155" s="75"/>
      <c r="I155" s="88"/>
    </row>
    <row r="156" ht="54.75" hidden="1" customHeight="1" spans="1:9">
      <c r="A156" s="48"/>
      <c r="B156" s="76"/>
      <c r="C156" s="77"/>
      <c r="D156" s="77"/>
      <c r="E156" s="78"/>
      <c r="F156" s="76"/>
      <c r="G156" s="77"/>
      <c r="H156" s="77"/>
      <c r="I156" s="78"/>
    </row>
    <row r="157" ht="27.75" hidden="1" customHeight="1" spans="1:9">
      <c r="A157" s="48"/>
      <c r="B157" s="45" t="s">
        <v>82</v>
      </c>
      <c r="C157" s="79"/>
      <c r="D157" s="80"/>
      <c r="E157" s="80"/>
      <c r="F157" s="46" t="s">
        <v>83</v>
      </c>
      <c r="G157" s="75"/>
      <c r="H157" s="75"/>
      <c r="I157" s="88"/>
    </row>
    <row r="158" ht="67.5" hidden="1" customHeight="1" spans="1:9">
      <c r="A158" s="48"/>
      <c r="B158" s="76"/>
      <c r="C158" s="77"/>
      <c r="D158" s="77"/>
      <c r="E158" s="78"/>
      <c r="F158" s="76"/>
      <c r="G158" s="81"/>
      <c r="H158" s="81"/>
      <c r="I158" s="89"/>
    </row>
    <row r="159" hidden="1" spans="1:10">
      <c r="A159" s="48"/>
      <c r="J159" s="61"/>
    </row>
    <row r="160" ht="27.75" hidden="1" customHeight="1" spans="1:10">
      <c r="A160" s="48">
        <v>11</v>
      </c>
      <c r="B160" s="49" t="s">
        <v>63</v>
      </c>
      <c r="C160" s="49" t="s">
        <v>64</v>
      </c>
      <c r="D160" s="82" t="s">
        <v>70</v>
      </c>
      <c r="E160" s="83"/>
      <c r="F160" s="49" t="s">
        <v>71</v>
      </c>
      <c r="G160" s="49" t="s">
        <v>72</v>
      </c>
      <c r="H160" s="49" t="s">
        <v>54</v>
      </c>
      <c r="I160" s="49" t="s">
        <v>73</v>
      </c>
      <c r="J160" s="61"/>
    </row>
    <row r="161" ht="27.75" hidden="1" customHeight="1" spans="1:9">
      <c r="A161" s="48"/>
      <c r="B161" s="52"/>
      <c r="C161" s="52"/>
      <c r="D161" s="53"/>
      <c r="E161" s="53"/>
      <c r="F161" s="53"/>
      <c r="G161" s="53"/>
      <c r="H161" s="53"/>
      <c r="I161" s="64"/>
    </row>
    <row r="162" ht="27.75" hidden="1" customHeight="1" spans="1:10">
      <c r="A162" s="48"/>
      <c r="B162" s="46" t="s">
        <v>76</v>
      </c>
      <c r="C162" s="54" t="str">
        <f>"（时长"&amp;TEXT((C161-B161)/365,"0.00")&amp;"年）"</f>
        <v>（时长0.00年）</v>
      </c>
      <c r="D162" s="42"/>
      <c r="E162" s="43"/>
      <c r="F162" s="43"/>
      <c r="G162" s="43"/>
      <c r="H162" s="43"/>
      <c r="I162" s="63"/>
      <c r="J162" s="61"/>
    </row>
    <row r="163" ht="27.75" hidden="1" customHeight="1" spans="1:9">
      <c r="A163" s="48"/>
      <c r="B163" s="57"/>
      <c r="C163" s="57"/>
      <c r="D163" s="73"/>
      <c r="E163" s="57"/>
      <c r="F163" s="57"/>
      <c r="G163" s="57"/>
      <c r="H163" s="57"/>
      <c r="I163" s="57"/>
    </row>
    <row r="164" ht="27.75" hidden="1" customHeight="1" spans="1:9">
      <c r="A164" s="48"/>
      <c r="B164" s="46" t="s">
        <v>78</v>
      </c>
      <c r="C164" s="74"/>
      <c r="D164" s="75"/>
      <c r="E164" s="75"/>
      <c r="F164" s="46" t="s">
        <v>89</v>
      </c>
      <c r="G164" s="75"/>
      <c r="H164" s="75"/>
      <c r="I164" s="88"/>
    </row>
    <row r="165" ht="54.75" hidden="1" customHeight="1" spans="1:9">
      <c r="A165" s="48"/>
      <c r="B165" s="76"/>
      <c r="C165" s="77"/>
      <c r="D165" s="77"/>
      <c r="E165" s="78"/>
      <c r="F165" s="76"/>
      <c r="G165" s="77"/>
      <c r="H165" s="77"/>
      <c r="I165" s="78"/>
    </row>
    <row r="166" ht="27.75" hidden="1" customHeight="1" spans="1:9">
      <c r="A166" s="48"/>
      <c r="B166" s="45" t="s">
        <v>82</v>
      </c>
      <c r="C166" s="79"/>
      <c r="D166" s="80"/>
      <c r="E166" s="80"/>
      <c r="F166" s="46" t="s">
        <v>83</v>
      </c>
      <c r="G166" s="75"/>
      <c r="H166" s="75"/>
      <c r="I166" s="88"/>
    </row>
    <row r="167" ht="67.5" hidden="1" customHeight="1" spans="1:9">
      <c r="A167" s="48"/>
      <c r="B167" s="76"/>
      <c r="C167" s="77"/>
      <c r="D167" s="77"/>
      <c r="E167" s="78"/>
      <c r="F167" s="76"/>
      <c r="G167" s="81"/>
      <c r="H167" s="81"/>
      <c r="I167" s="89"/>
    </row>
    <row r="168" hidden="1" spans="1:10">
      <c r="A168" s="48"/>
      <c r="J168" s="61"/>
    </row>
    <row r="169" ht="27.75" hidden="1" customHeight="1" spans="1:10">
      <c r="A169" s="48">
        <v>12</v>
      </c>
      <c r="B169" s="49" t="s">
        <v>63</v>
      </c>
      <c r="C169" s="49" t="s">
        <v>64</v>
      </c>
      <c r="D169" s="82" t="s">
        <v>70</v>
      </c>
      <c r="E169" s="83"/>
      <c r="F169" s="49" t="s">
        <v>71</v>
      </c>
      <c r="G169" s="49" t="s">
        <v>72</v>
      </c>
      <c r="H169" s="49" t="s">
        <v>54</v>
      </c>
      <c r="I169" s="49" t="s">
        <v>73</v>
      </c>
      <c r="J169" s="61"/>
    </row>
    <row r="170" ht="27.75" hidden="1" customHeight="1" spans="1:9">
      <c r="A170" s="48"/>
      <c r="B170" s="52"/>
      <c r="C170" s="52"/>
      <c r="D170" s="53"/>
      <c r="E170" s="53"/>
      <c r="F170" s="53"/>
      <c r="G170" s="53"/>
      <c r="H170" s="53"/>
      <c r="I170" s="64"/>
    </row>
    <row r="171" ht="27.75" hidden="1" customHeight="1" spans="1:10">
      <c r="A171" s="48"/>
      <c r="B171" s="46" t="s">
        <v>76</v>
      </c>
      <c r="C171" s="54" t="str">
        <f>"（时长"&amp;TEXT((C170-B170)/365,"0.00")&amp;"年）"</f>
        <v>（时长0.00年）</v>
      </c>
      <c r="D171" s="42"/>
      <c r="E171" s="43"/>
      <c r="F171" s="43"/>
      <c r="G171" s="43"/>
      <c r="H171" s="43"/>
      <c r="I171" s="63"/>
      <c r="J171" s="61"/>
    </row>
    <row r="172" ht="27.75" hidden="1" customHeight="1" spans="1:9">
      <c r="A172" s="48"/>
      <c r="B172" s="57"/>
      <c r="C172" s="57"/>
      <c r="D172" s="73"/>
      <c r="E172" s="57"/>
      <c r="F172" s="57"/>
      <c r="G172" s="57"/>
      <c r="H172" s="57"/>
      <c r="I172" s="57"/>
    </row>
    <row r="173" ht="27.75" hidden="1" customHeight="1" spans="1:9">
      <c r="A173" s="48"/>
      <c r="B173" s="46" t="s">
        <v>78</v>
      </c>
      <c r="C173" s="74"/>
      <c r="D173" s="75"/>
      <c r="E173" s="75"/>
      <c r="F173" s="46" t="s">
        <v>89</v>
      </c>
      <c r="G173" s="75"/>
      <c r="H173" s="75"/>
      <c r="I173" s="88"/>
    </row>
    <row r="174" ht="54.75" hidden="1" customHeight="1" spans="1:9">
      <c r="A174" s="48"/>
      <c r="B174" s="76"/>
      <c r="C174" s="77"/>
      <c r="D174" s="77"/>
      <c r="E174" s="78"/>
      <c r="F174" s="76"/>
      <c r="G174" s="77"/>
      <c r="H174" s="77"/>
      <c r="I174" s="78"/>
    </row>
    <row r="175" ht="27.75" hidden="1" customHeight="1" spans="1:9">
      <c r="A175" s="48"/>
      <c r="B175" s="45" t="s">
        <v>82</v>
      </c>
      <c r="C175" s="79"/>
      <c r="D175" s="80"/>
      <c r="E175" s="80"/>
      <c r="F175" s="46" t="s">
        <v>83</v>
      </c>
      <c r="G175" s="75"/>
      <c r="H175" s="75"/>
      <c r="I175" s="88"/>
    </row>
    <row r="176" ht="67.5" hidden="1" customHeight="1" spans="1:9">
      <c r="A176" s="48"/>
      <c r="B176" s="76"/>
      <c r="C176" s="77"/>
      <c r="D176" s="77"/>
      <c r="E176" s="78"/>
      <c r="F176" s="76"/>
      <c r="G176" s="81"/>
      <c r="H176" s="81"/>
      <c r="I176" s="89"/>
    </row>
    <row r="177" hidden="1" spans="1:10">
      <c r="A177" s="48"/>
      <c r="J177" s="61"/>
    </row>
    <row r="178" ht="27.75" hidden="1" customHeight="1" spans="1:10">
      <c r="A178" s="48">
        <v>13</v>
      </c>
      <c r="B178" s="49" t="s">
        <v>63</v>
      </c>
      <c r="C178" s="49" t="s">
        <v>64</v>
      </c>
      <c r="D178" s="82" t="s">
        <v>70</v>
      </c>
      <c r="E178" s="83"/>
      <c r="F178" s="49" t="s">
        <v>71</v>
      </c>
      <c r="G178" s="49" t="s">
        <v>72</v>
      </c>
      <c r="H178" s="49" t="s">
        <v>54</v>
      </c>
      <c r="I178" s="49" t="s">
        <v>73</v>
      </c>
      <c r="J178" s="61"/>
    </row>
    <row r="179" ht="27.75" hidden="1" customHeight="1" spans="1:9">
      <c r="A179" s="48"/>
      <c r="B179" s="52"/>
      <c r="C179" s="52"/>
      <c r="D179" s="53"/>
      <c r="E179" s="53"/>
      <c r="F179" s="53"/>
      <c r="G179" s="53"/>
      <c r="H179" s="53"/>
      <c r="I179" s="64"/>
    </row>
    <row r="180" ht="27.75" hidden="1" customHeight="1" spans="1:10">
      <c r="A180" s="48"/>
      <c r="B180" s="46" t="s">
        <v>76</v>
      </c>
      <c r="C180" s="54" t="str">
        <f>"（时长"&amp;TEXT((C179-B179)/365,"0.00")&amp;"年）"</f>
        <v>（时长0.00年）</v>
      </c>
      <c r="D180" s="42"/>
      <c r="E180" s="43"/>
      <c r="F180" s="43"/>
      <c r="G180" s="43"/>
      <c r="H180" s="43"/>
      <c r="I180" s="63"/>
      <c r="J180" s="61"/>
    </row>
    <row r="181" ht="27.75" hidden="1" customHeight="1" spans="1:9">
      <c r="A181" s="48"/>
      <c r="B181" s="57"/>
      <c r="C181" s="57"/>
      <c r="D181" s="73"/>
      <c r="E181" s="57"/>
      <c r="F181" s="57"/>
      <c r="G181" s="57"/>
      <c r="H181" s="57"/>
      <c r="I181" s="57"/>
    </row>
    <row r="182" ht="27.75" hidden="1" customHeight="1" spans="1:9">
      <c r="A182" s="48"/>
      <c r="B182" s="46" t="s">
        <v>78</v>
      </c>
      <c r="C182" s="74"/>
      <c r="D182" s="75"/>
      <c r="E182" s="75"/>
      <c r="F182" s="46" t="s">
        <v>89</v>
      </c>
      <c r="G182" s="75"/>
      <c r="H182" s="75"/>
      <c r="I182" s="88"/>
    </row>
    <row r="183" ht="54.75" hidden="1" customHeight="1" spans="1:9">
      <c r="A183" s="48"/>
      <c r="B183" s="76"/>
      <c r="C183" s="77"/>
      <c r="D183" s="77"/>
      <c r="E183" s="78"/>
      <c r="F183" s="76"/>
      <c r="G183" s="77"/>
      <c r="H183" s="77"/>
      <c r="I183" s="78"/>
    </row>
    <row r="184" ht="27.75" hidden="1" customHeight="1" spans="1:9">
      <c r="A184" s="48"/>
      <c r="B184" s="45" t="s">
        <v>82</v>
      </c>
      <c r="C184" s="79"/>
      <c r="D184" s="80"/>
      <c r="E184" s="80"/>
      <c r="F184" s="46" t="s">
        <v>83</v>
      </c>
      <c r="G184" s="75"/>
      <c r="H184" s="75"/>
      <c r="I184" s="88"/>
    </row>
    <row r="185" ht="67.5" hidden="1" customHeight="1" spans="1:9">
      <c r="A185" s="48"/>
      <c r="B185" s="76"/>
      <c r="C185" s="77"/>
      <c r="D185" s="77"/>
      <c r="E185" s="78"/>
      <c r="F185" s="76"/>
      <c r="G185" s="81"/>
      <c r="H185" s="81"/>
      <c r="I185" s="89"/>
    </row>
    <row r="186" hidden="1" spans="1:10">
      <c r="A186" s="48"/>
      <c r="J186" s="61"/>
    </row>
    <row r="187" ht="27.75" hidden="1" customHeight="1" spans="1:10">
      <c r="A187" s="48">
        <v>14</v>
      </c>
      <c r="B187" s="49" t="s">
        <v>63</v>
      </c>
      <c r="C187" s="49" t="s">
        <v>64</v>
      </c>
      <c r="D187" s="82" t="s">
        <v>70</v>
      </c>
      <c r="E187" s="83"/>
      <c r="F187" s="49" t="s">
        <v>71</v>
      </c>
      <c r="G187" s="49" t="s">
        <v>72</v>
      </c>
      <c r="H187" s="49" t="s">
        <v>54</v>
      </c>
      <c r="I187" s="49" t="s">
        <v>73</v>
      </c>
      <c r="J187" s="61"/>
    </row>
    <row r="188" ht="27.75" hidden="1" customHeight="1" spans="1:9">
      <c r="A188" s="48"/>
      <c r="B188" s="52"/>
      <c r="C188" s="52"/>
      <c r="D188" s="53"/>
      <c r="E188" s="53"/>
      <c r="F188" s="53"/>
      <c r="G188" s="53"/>
      <c r="H188" s="53"/>
      <c r="I188" s="64"/>
    </row>
    <row r="189" ht="27.75" hidden="1" customHeight="1" spans="1:10">
      <c r="A189" s="48"/>
      <c r="B189" s="46" t="s">
        <v>76</v>
      </c>
      <c r="C189" s="54" t="str">
        <f>"（时长"&amp;TEXT((C188-B188)/365,"0.00")&amp;"年）"</f>
        <v>（时长0.00年）</v>
      </c>
      <c r="D189" s="42"/>
      <c r="E189" s="43"/>
      <c r="F189" s="43"/>
      <c r="G189" s="43"/>
      <c r="H189" s="43"/>
      <c r="I189" s="63"/>
      <c r="J189" s="61"/>
    </row>
    <row r="190" ht="27.75" hidden="1" customHeight="1" spans="1:9">
      <c r="A190" s="48"/>
      <c r="B190" s="57"/>
      <c r="C190" s="57"/>
      <c r="D190" s="73"/>
      <c r="E190" s="57"/>
      <c r="F190" s="57"/>
      <c r="G190" s="57"/>
      <c r="H190" s="57"/>
      <c r="I190" s="57"/>
    </row>
    <row r="191" ht="27.75" hidden="1" customHeight="1" spans="1:9">
      <c r="A191" s="48"/>
      <c r="B191" s="46" t="s">
        <v>78</v>
      </c>
      <c r="C191" s="74"/>
      <c r="D191" s="75"/>
      <c r="E191" s="75"/>
      <c r="F191" s="46" t="s">
        <v>89</v>
      </c>
      <c r="G191" s="75"/>
      <c r="H191" s="75"/>
      <c r="I191" s="88"/>
    </row>
    <row r="192" ht="54.75" hidden="1" customHeight="1" spans="1:9">
      <c r="A192" s="48"/>
      <c r="B192" s="76"/>
      <c r="C192" s="77"/>
      <c r="D192" s="77"/>
      <c r="E192" s="78"/>
      <c r="F192" s="76"/>
      <c r="G192" s="77"/>
      <c r="H192" s="77"/>
      <c r="I192" s="78"/>
    </row>
    <row r="193" ht="27.75" hidden="1" customHeight="1" spans="1:9">
      <c r="A193" s="48"/>
      <c r="B193" s="45" t="s">
        <v>82</v>
      </c>
      <c r="C193" s="79"/>
      <c r="D193" s="80"/>
      <c r="E193" s="80"/>
      <c r="F193" s="46" t="s">
        <v>83</v>
      </c>
      <c r="G193" s="75"/>
      <c r="H193" s="75"/>
      <c r="I193" s="88"/>
    </row>
    <row r="194" ht="67.5" hidden="1" customHeight="1" spans="1:9">
      <c r="A194" s="48"/>
      <c r="B194" s="76"/>
      <c r="C194" s="77"/>
      <c r="D194" s="77"/>
      <c r="E194" s="78"/>
      <c r="F194" s="76"/>
      <c r="G194" s="81"/>
      <c r="H194" s="81"/>
      <c r="I194" s="89"/>
    </row>
    <row r="195" hidden="1" spans="1:10">
      <c r="A195" s="48"/>
      <c r="J195" s="61"/>
    </row>
    <row r="196" ht="27.75" hidden="1" customHeight="1" spans="1:10">
      <c r="A196" s="48">
        <v>15</v>
      </c>
      <c r="B196" s="49" t="s">
        <v>63</v>
      </c>
      <c r="C196" s="49" t="s">
        <v>64</v>
      </c>
      <c r="D196" s="82" t="s">
        <v>70</v>
      </c>
      <c r="E196" s="83"/>
      <c r="F196" s="49" t="s">
        <v>71</v>
      </c>
      <c r="G196" s="49" t="s">
        <v>72</v>
      </c>
      <c r="H196" s="49" t="s">
        <v>54</v>
      </c>
      <c r="I196" s="49" t="s">
        <v>73</v>
      </c>
      <c r="J196" s="61"/>
    </row>
    <row r="197" ht="27.75" hidden="1" customHeight="1" spans="1:9">
      <c r="A197" s="48"/>
      <c r="B197" s="52"/>
      <c r="C197" s="52"/>
      <c r="D197" s="53"/>
      <c r="E197" s="53"/>
      <c r="F197" s="53"/>
      <c r="G197" s="53"/>
      <c r="H197" s="53"/>
      <c r="I197" s="64"/>
    </row>
    <row r="198" ht="27.75" hidden="1" customHeight="1" spans="1:10">
      <c r="A198" s="48"/>
      <c r="B198" s="46" t="s">
        <v>76</v>
      </c>
      <c r="C198" s="54" t="str">
        <f>"（时长"&amp;TEXT((C197-B197)/365,"0.00")&amp;"年）"</f>
        <v>（时长0.00年）</v>
      </c>
      <c r="D198" s="42"/>
      <c r="E198" s="43"/>
      <c r="F198" s="43"/>
      <c r="G198" s="43"/>
      <c r="H198" s="43"/>
      <c r="I198" s="63"/>
      <c r="J198" s="61"/>
    </row>
    <row r="199" ht="27.75" hidden="1" customHeight="1" spans="1:9">
      <c r="A199" s="48"/>
      <c r="B199" s="57"/>
      <c r="C199" s="57"/>
      <c r="D199" s="73"/>
      <c r="E199" s="57"/>
      <c r="F199" s="57"/>
      <c r="G199" s="57"/>
      <c r="H199" s="57"/>
      <c r="I199" s="57"/>
    </row>
    <row r="200" ht="27.75" hidden="1" customHeight="1" spans="1:9">
      <c r="A200" s="48"/>
      <c r="B200" s="46" t="s">
        <v>78</v>
      </c>
      <c r="C200" s="74"/>
      <c r="D200" s="75"/>
      <c r="E200" s="75"/>
      <c r="F200" s="46" t="s">
        <v>89</v>
      </c>
      <c r="G200" s="75"/>
      <c r="H200" s="75"/>
      <c r="I200" s="88"/>
    </row>
    <row r="201" ht="54.75" hidden="1" customHeight="1" spans="1:9">
      <c r="A201" s="48"/>
      <c r="B201" s="76"/>
      <c r="C201" s="77"/>
      <c r="D201" s="77"/>
      <c r="E201" s="78"/>
      <c r="F201" s="76"/>
      <c r="G201" s="77"/>
      <c r="H201" s="77"/>
      <c r="I201" s="78"/>
    </row>
    <row r="202" ht="27.75" hidden="1" customHeight="1" spans="1:9">
      <c r="A202" s="48"/>
      <c r="B202" s="45" t="s">
        <v>82</v>
      </c>
      <c r="C202" s="79"/>
      <c r="D202" s="80"/>
      <c r="E202" s="80"/>
      <c r="F202" s="46" t="s">
        <v>83</v>
      </c>
      <c r="G202" s="75"/>
      <c r="H202" s="75"/>
      <c r="I202" s="88"/>
    </row>
    <row r="203" ht="67.5" hidden="1" customHeight="1" spans="1:9">
      <c r="A203" s="48"/>
      <c r="B203" s="76"/>
      <c r="C203" s="77"/>
      <c r="D203" s="77"/>
      <c r="E203" s="78"/>
      <c r="F203" s="76"/>
      <c r="G203" s="81"/>
      <c r="H203" s="81"/>
      <c r="I203" s="89"/>
    </row>
    <row r="204" hidden="1" spans="1:10">
      <c r="A204" s="48"/>
      <c r="J204" s="61"/>
    </row>
    <row r="205" ht="27.75" hidden="1" customHeight="1" spans="1:10">
      <c r="A205" s="48">
        <v>16</v>
      </c>
      <c r="B205" s="49" t="s">
        <v>63</v>
      </c>
      <c r="C205" s="49" t="s">
        <v>64</v>
      </c>
      <c r="D205" s="82" t="s">
        <v>70</v>
      </c>
      <c r="E205" s="83"/>
      <c r="F205" s="49" t="s">
        <v>71</v>
      </c>
      <c r="G205" s="49" t="s">
        <v>72</v>
      </c>
      <c r="H205" s="49" t="s">
        <v>54</v>
      </c>
      <c r="I205" s="49" t="s">
        <v>73</v>
      </c>
      <c r="J205" s="61"/>
    </row>
    <row r="206" ht="27.75" hidden="1" customHeight="1" spans="1:9">
      <c r="A206" s="48"/>
      <c r="B206" s="52"/>
      <c r="C206" s="52"/>
      <c r="D206" s="53"/>
      <c r="E206" s="53"/>
      <c r="F206" s="53"/>
      <c r="G206" s="53"/>
      <c r="H206" s="53"/>
      <c r="I206" s="64"/>
    </row>
    <row r="207" ht="27.75" hidden="1" customHeight="1" spans="1:10">
      <c r="A207" s="48"/>
      <c r="B207" s="46" t="s">
        <v>76</v>
      </c>
      <c r="C207" s="54" t="str">
        <f>"（时长"&amp;TEXT((C206-B206)/365,"0.00")&amp;"年）"</f>
        <v>（时长0.00年）</v>
      </c>
      <c r="D207" s="42"/>
      <c r="E207" s="43"/>
      <c r="F207" s="43"/>
      <c r="G207" s="43"/>
      <c r="H207" s="43"/>
      <c r="I207" s="63"/>
      <c r="J207" s="61"/>
    </row>
    <row r="208" ht="27.75" hidden="1" customHeight="1" spans="1:9">
      <c r="A208" s="48"/>
      <c r="B208" s="57"/>
      <c r="C208" s="57"/>
      <c r="D208" s="73"/>
      <c r="E208" s="57"/>
      <c r="F208" s="57"/>
      <c r="G208" s="57"/>
      <c r="H208" s="57"/>
      <c r="I208" s="57"/>
    </row>
    <row r="209" ht="27.75" hidden="1" customHeight="1" spans="1:9">
      <c r="A209" s="48"/>
      <c r="B209" s="46" t="s">
        <v>78</v>
      </c>
      <c r="C209" s="74"/>
      <c r="D209" s="75"/>
      <c r="E209" s="75"/>
      <c r="F209" s="46" t="s">
        <v>89</v>
      </c>
      <c r="G209" s="75"/>
      <c r="H209" s="75"/>
      <c r="I209" s="88"/>
    </row>
    <row r="210" ht="54.75" hidden="1" customHeight="1" spans="1:9">
      <c r="A210" s="48"/>
      <c r="B210" s="76"/>
      <c r="C210" s="77"/>
      <c r="D210" s="77"/>
      <c r="E210" s="78"/>
      <c r="F210" s="76"/>
      <c r="G210" s="77"/>
      <c r="H210" s="77"/>
      <c r="I210" s="78"/>
    </row>
    <row r="211" ht="27.75" hidden="1" customHeight="1" spans="1:9">
      <c r="A211" s="48"/>
      <c r="B211" s="45" t="s">
        <v>82</v>
      </c>
      <c r="C211" s="79"/>
      <c r="D211" s="80"/>
      <c r="E211" s="80"/>
      <c r="F211" s="46" t="s">
        <v>83</v>
      </c>
      <c r="G211" s="75"/>
      <c r="H211" s="75"/>
      <c r="I211" s="88"/>
    </row>
    <row r="212" ht="67.5" hidden="1" customHeight="1" spans="1:9">
      <c r="A212" s="48"/>
      <c r="B212" s="76"/>
      <c r="C212" s="77"/>
      <c r="D212" s="77"/>
      <c r="E212" s="78"/>
      <c r="F212" s="76"/>
      <c r="G212" s="81"/>
      <c r="H212" s="81"/>
      <c r="I212" s="89"/>
    </row>
    <row r="213" hidden="1" spans="1:10">
      <c r="A213" s="48"/>
      <c r="J213" s="61"/>
    </row>
    <row r="214" ht="27.75" hidden="1" customHeight="1" spans="1:10">
      <c r="A214" s="48">
        <v>17</v>
      </c>
      <c r="B214" s="49" t="s">
        <v>63</v>
      </c>
      <c r="C214" s="49" t="s">
        <v>64</v>
      </c>
      <c r="D214" s="82" t="s">
        <v>70</v>
      </c>
      <c r="E214" s="83"/>
      <c r="F214" s="49" t="s">
        <v>71</v>
      </c>
      <c r="G214" s="49" t="s">
        <v>72</v>
      </c>
      <c r="H214" s="49" t="s">
        <v>54</v>
      </c>
      <c r="I214" s="49" t="s">
        <v>73</v>
      </c>
      <c r="J214" s="61"/>
    </row>
    <row r="215" ht="27.75" hidden="1" customHeight="1" spans="1:9">
      <c r="A215" s="48"/>
      <c r="B215" s="52"/>
      <c r="C215" s="52"/>
      <c r="D215" s="53"/>
      <c r="E215" s="53"/>
      <c r="F215" s="53"/>
      <c r="G215" s="53"/>
      <c r="H215" s="53"/>
      <c r="I215" s="64"/>
    </row>
    <row r="216" ht="27.75" hidden="1" customHeight="1" spans="1:10">
      <c r="A216" s="48"/>
      <c r="B216" s="46" t="s">
        <v>76</v>
      </c>
      <c r="C216" s="54" t="str">
        <f>"（时长"&amp;TEXT((C215-B215)/365,"0.00")&amp;"年）"</f>
        <v>（时长0.00年）</v>
      </c>
      <c r="D216" s="42"/>
      <c r="E216" s="43"/>
      <c r="F216" s="43"/>
      <c r="G216" s="43"/>
      <c r="H216" s="43"/>
      <c r="I216" s="63"/>
      <c r="J216" s="61"/>
    </row>
    <row r="217" ht="27.75" hidden="1" customHeight="1" spans="1:9">
      <c r="A217" s="48"/>
      <c r="B217" s="57"/>
      <c r="C217" s="57"/>
      <c r="D217" s="73"/>
      <c r="E217" s="57"/>
      <c r="F217" s="57"/>
      <c r="G217" s="57"/>
      <c r="H217" s="57"/>
      <c r="I217" s="57"/>
    </row>
    <row r="218" ht="27.75" hidden="1" customHeight="1" spans="1:9">
      <c r="A218" s="48"/>
      <c r="B218" s="46" t="s">
        <v>78</v>
      </c>
      <c r="C218" s="74"/>
      <c r="D218" s="75"/>
      <c r="E218" s="75"/>
      <c r="F218" s="46" t="s">
        <v>89</v>
      </c>
      <c r="G218" s="75"/>
      <c r="H218" s="75"/>
      <c r="I218" s="88"/>
    </row>
    <row r="219" ht="54.75" hidden="1" customHeight="1" spans="1:9">
      <c r="A219" s="48"/>
      <c r="B219" s="76"/>
      <c r="C219" s="77"/>
      <c r="D219" s="77"/>
      <c r="E219" s="78"/>
      <c r="F219" s="76"/>
      <c r="G219" s="77"/>
      <c r="H219" s="77"/>
      <c r="I219" s="78"/>
    </row>
    <row r="220" ht="27.75" hidden="1" customHeight="1" spans="1:9">
      <c r="A220" s="48"/>
      <c r="B220" s="45" t="s">
        <v>82</v>
      </c>
      <c r="C220" s="79"/>
      <c r="D220" s="80"/>
      <c r="E220" s="80"/>
      <c r="F220" s="46" t="s">
        <v>83</v>
      </c>
      <c r="G220" s="75"/>
      <c r="H220" s="75"/>
      <c r="I220" s="88"/>
    </row>
    <row r="221" ht="67.5" hidden="1" customHeight="1" spans="1:9">
      <c r="A221" s="48"/>
      <c r="B221" s="76"/>
      <c r="C221" s="77"/>
      <c r="D221" s="77"/>
      <c r="E221" s="78"/>
      <c r="F221" s="76"/>
      <c r="G221" s="81"/>
      <c r="H221" s="81"/>
      <c r="I221" s="89"/>
    </row>
    <row r="222" hidden="1" spans="1:10">
      <c r="A222" s="48"/>
      <c r="J222" s="61"/>
    </row>
    <row r="223" ht="27.75" hidden="1" customHeight="1" spans="1:10">
      <c r="A223" s="48">
        <v>18</v>
      </c>
      <c r="B223" s="49" t="s">
        <v>63</v>
      </c>
      <c r="C223" s="49" t="s">
        <v>64</v>
      </c>
      <c r="D223" s="82" t="s">
        <v>70</v>
      </c>
      <c r="E223" s="83"/>
      <c r="F223" s="49" t="s">
        <v>71</v>
      </c>
      <c r="G223" s="49" t="s">
        <v>72</v>
      </c>
      <c r="H223" s="49" t="s">
        <v>54</v>
      </c>
      <c r="I223" s="49" t="s">
        <v>73</v>
      </c>
      <c r="J223" s="61"/>
    </row>
    <row r="224" ht="27.75" hidden="1" customHeight="1" spans="1:9">
      <c r="A224" s="48"/>
      <c r="B224" s="52"/>
      <c r="C224" s="52"/>
      <c r="D224" s="53"/>
      <c r="E224" s="53"/>
      <c r="F224" s="53"/>
      <c r="G224" s="53"/>
      <c r="H224" s="53"/>
      <c r="I224" s="64"/>
    </row>
    <row r="225" ht="27.75" hidden="1" customHeight="1" spans="1:10">
      <c r="A225" s="48"/>
      <c r="B225" s="46" t="s">
        <v>76</v>
      </c>
      <c r="C225" s="54" t="str">
        <f>"（时长"&amp;TEXT((C224-B224)/365,"0.00")&amp;"年）"</f>
        <v>（时长0.00年）</v>
      </c>
      <c r="D225" s="42"/>
      <c r="E225" s="43"/>
      <c r="F225" s="43"/>
      <c r="G225" s="43"/>
      <c r="H225" s="43"/>
      <c r="I225" s="63"/>
      <c r="J225" s="61"/>
    </row>
    <row r="226" ht="27.75" hidden="1" customHeight="1" spans="1:9">
      <c r="A226" s="48"/>
      <c r="B226" s="57"/>
      <c r="C226" s="57"/>
      <c r="D226" s="73"/>
      <c r="E226" s="57"/>
      <c r="F226" s="57"/>
      <c r="G226" s="57"/>
      <c r="H226" s="57"/>
      <c r="I226" s="57"/>
    </row>
    <row r="227" ht="27.75" hidden="1" customHeight="1" spans="1:9">
      <c r="A227" s="48"/>
      <c r="B227" s="46" t="s">
        <v>78</v>
      </c>
      <c r="C227" s="74"/>
      <c r="D227" s="75"/>
      <c r="E227" s="75"/>
      <c r="F227" s="46" t="s">
        <v>89</v>
      </c>
      <c r="G227" s="75"/>
      <c r="H227" s="75"/>
      <c r="I227" s="88"/>
    </row>
    <row r="228" ht="54.75" hidden="1" customHeight="1" spans="1:9">
      <c r="A228" s="48"/>
      <c r="B228" s="76"/>
      <c r="C228" s="77"/>
      <c r="D228" s="77"/>
      <c r="E228" s="78"/>
      <c r="F228" s="76"/>
      <c r="G228" s="77"/>
      <c r="H228" s="77"/>
      <c r="I228" s="78"/>
    </row>
    <row r="229" ht="27.75" hidden="1" customHeight="1" spans="1:9">
      <c r="A229" s="48"/>
      <c r="B229" s="45" t="s">
        <v>82</v>
      </c>
      <c r="C229" s="79"/>
      <c r="D229" s="80"/>
      <c r="E229" s="80"/>
      <c r="F229" s="46" t="s">
        <v>83</v>
      </c>
      <c r="G229" s="75"/>
      <c r="H229" s="75"/>
      <c r="I229" s="88"/>
    </row>
    <row r="230" ht="67.5" hidden="1" customHeight="1" spans="1:9">
      <c r="A230" s="48"/>
      <c r="B230" s="76"/>
      <c r="C230" s="77"/>
      <c r="D230" s="77"/>
      <c r="E230" s="78"/>
      <c r="F230" s="76"/>
      <c r="G230" s="81"/>
      <c r="H230" s="81"/>
      <c r="I230" s="89"/>
    </row>
    <row r="231" hidden="1" spans="1:10">
      <c r="A231" s="48"/>
      <c r="J231" s="61"/>
    </row>
    <row r="232" ht="27.75" hidden="1" customHeight="1" spans="1:10">
      <c r="A232" s="48">
        <v>19</v>
      </c>
      <c r="B232" s="49" t="s">
        <v>63</v>
      </c>
      <c r="C232" s="49" t="s">
        <v>64</v>
      </c>
      <c r="D232" s="82" t="s">
        <v>70</v>
      </c>
      <c r="E232" s="83"/>
      <c r="F232" s="49" t="s">
        <v>71</v>
      </c>
      <c r="G232" s="49" t="s">
        <v>72</v>
      </c>
      <c r="H232" s="49" t="s">
        <v>54</v>
      </c>
      <c r="I232" s="49" t="s">
        <v>73</v>
      </c>
      <c r="J232" s="61"/>
    </row>
    <row r="233" ht="27.75" hidden="1" customHeight="1" spans="1:9">
      <c r="A233" s="48"/>
      <c r="B233" s="52"/>
      <c r="C233" s="52"/>
      <c r="D233" s="53"/>
      <c r="E233" s="53"/>
      <c r="F233" s="53"/>
      <c r="G233" s="53"/>
      <c r="H233" s="53"/>
      <c r="I233" s="64"/>
    </row>
    <row r="234" ht="27.75" hidden="1" customHeight="1" spans="1:10">
      <c r="A234" s="48"/>
      <c r="B234" s="46" t="s">
        <v>76</v>
      </c>
      <c r="C234" s="54" t="str">
        <f>"（时长"&amp;TEXT((C233-B233)/365,"0.00")&amp;"年）"</f>
        <v>（时长0.00年）</v>
      </c>
      <c r="D234" s="42"/>
      <c r="E234" s="43"/>
      <c r="F234" s="43"/>
      <c r="G234" s="43"/>
      <c r="H234" s="43"/>
      <c r="I234" s="63"/>
      <c r="J234" s="61"/>
    </row>
    <row r="235" ht="27.75" hidden="1" customHeight="1" spans="1:9">
      <c r="A235" s="48"/>
      <c r="B235" s="57"/>
      <c r="C235" s="57"/>
      <c r="D235" s="73"/>
      <c r="E235" s="57"/>
      <c r="F235" s="57"/>
      <c r="G235" s="57"/>
      <c r="H235" s="57"/>
      <c r="I235" s="57"/>
    </row>
    <row r="236" ht="27.75" hidden="1" customHeight="1" spans="1:9">
      <c r="A236" s="48"/>
      <c r="B236" s="46" t="s">
        <v>78</v>
      </c>
      <c r="C236" s="74"/>
      <c r="D236" s="75"/>
      <c r="E236" s="75"/>
      <c r="F236" s="46" t="s">
        <v>89</v>
      </c>
      <c r="G236" s="75"/>
      <c r="H236" s="75"/>
      <c r="I236" s="88"/>
    </row>
    <row r="237" ht="54.75" hidden="1" customHeight="1" spans="1:9">
      <c r="A237" s="48"/>
      <c r="B237" s="76"/>
      <c r="C237" s="77"/>
      <c r="D237" s="77"/>
      <c r="E237" s="78"/>
      <c r="F237" s="76"/>
      <c r="G237" s="77"/>
      <c r="H237" s="77"/>
      <c r="I237" s="78"/>
    </row>
    <row r="238" ht="27.75" hidden="1" customHeight="1" spans="1:9">
      <c r="A238" s="48"/>
      <c r="B238" s="45" t="s">
        <v>82</v>
      </c>
      <c r="C238" s="79"/>
      <c r="D238" s="80"/>
      <c r="E238" s="80"/>
      <c r="F238" s="46" t="s">
        <v>83</v>
      </c>
      <c r="G238" s="75"/>
      <c r="H238" s="75"/>
      <c r="I238" s="88"/>
    </row>
    <row r="239" ht="67.5" hidden="1" customHeight="1" spans="1:9">
      <c r="A239" s="48"/>
      <c r="B239" s="76"/>
      <c r="C239" s="77"/>
      <c r="D239" s="77"/>
      <c r="E239" s="78"/>
      <c r="F239" s="76"/>
      <c r="G239" s="81"/>
      <c r="H239" s="81"/>
      <c r="I239" s="89"/>
    </row>
    <row r="240" hidden="1" spans="1:10">
      <c r="A240" s="48"/>
      <c r="J240" s="61"/>
    </row>
    <row r="241" ht="27.75" hidden="1" customHeight="1" spans="1:10">
      <c r="A241" s="48">
        <v>20</v>
      </c>
      <c r="B241" s="49" t="s">
        <v>63</v>
      </c>
      <c r="C241" s="49" t="s">
        <v>64</v>
      </c>
      <c r="D241" s="82" t="s">
        <v>70</v>
      </c>
      <c r="E241" s="83"/>
      <c r="F241" s="49" t="s">
        <v>71</v>
      </c>
      <c r="G241" s="49" t="s">
        <v>72</v>
      </c>
      <c r="H241" s="49" t="s">
        <v>54</v>
      </c>
      <c r="I241" s="49" t="s">
        <v>73</v>
      </c>
      <c r="J241" s="61"/>
    </row>
    <row r="242" ht="27.75" hidden="1" customHeight="1" spans="1:9">
      <c r="A242" s="48"/>
      <c r="B242" s="52"/>
      <c r="C242" s="52"/>
      <c r="D242" s="53"/>
      <c r="E242" s="53"/>
      <c r="F242" s="53"/>
      <c r="G242" s="53"/>
      <c r="H242" s="53"/>
      <c r="I242" s="64"/>
    </row>
    <row r="243" ht="27.75" hidden="1" customHeight="1" spans="1:10">
      <c r="A243" s="48"/>
      <c r="B243" s="46" t="s">
        <v>76</v>
      </c>
      <c r="C243" s="54" t="str">
        <f>"（时长"&amp;TEXT((C242-B242)/365,"0.00")&amp;"年）"</f>
        <v>（时长0.00年）</v>
      </c>
      <c r="D243" s="42"/>
      <c r="E243" s="43"/>
      <c r="F243" s="43"/>
      <c r="G243" s="43"/>
      <c r="H243" s="43"/>
      <c r="I243" s="63"/>
      <c r="J243" s="61"/>
    </row>
    <row r="244" ht="27.75" hidden="1" customHeight="1" spans="1:9">
      <c r="A244" s="48"/>
      <c r="B244" s="57"/>
      <c r="C244" s="57"/>
      <c r="D244" s="73"/>
      <c r="E244" s="57"/>
      <c r="F244" s="57"/>
      <c r="G244" s="57"/>
      <c r="H244" s="57"/>
      <c r="I244" s="57"/>
    </row>
    <row r="245" ht="27.75" hidden="1" customHeight="1" spans="1:9">
      <c r="A245" s="48"/>
      <c r="B245" s="46" t="s">
        <v>78</v>
      </c>
      <c r="C245" s="74"/>
      <c r="D245" s="75"/>
      <c r="E245" s="75"/>
      <c r="F245" s="46" t="s">
        <v>89</v>
      </c>
      <c r="G245" s="75"/>
      <c r="H245" s="75"/>
      <c r="I245" s="88"/>
    </row>
    <row r="246" ht="54.75" hidden="1" customHeight="1" spans="1:9">
      <c r="A246" s="85"/>
      <c r="B246" s="76"/>
      <c r="C246" s="77"/>
      <c r="D246" s="77"/>
      <c r="E246" s="78"/>
      <c r="F246" s="76"/>
      <c r="G246" s="77"/>
      <c r="H246" s="77"/>
      <c r="I246" s="78"/>
    </row>
    <row r="247" ht="27.75" hidden="1" customHeight="1" spans="1:9">
      <c r="A247" s="48"/>
      <c r="B247" s="45" t="s">
        <v>82</v>
      </c>
      <c r="C247" s="79"/>
      <c r="D247" s="80"/>
      <c r="E247" s="80"/>
      <c r="F247" s="46" t="s">
        <v>83</v>
      </c>
      <c r="G247" s="75"/>
      <c r="H247" s="75"/>
      <c r="I247" s="88"/>
    </row>
    <row r="248" ht="67.5" hidden="1" customHeight="1" spans="1:9">
      <c r="A248" s="85"/>
      <c r="B248" s="76"/>
      <c r="C248" s="77"/>
      <c r="D248" s="77"/>
      <c r="E248" s="78"/>
      <c r="F248" s="76"/>
      <c r="G248" s="81"/>
      <c r="H248" s="81"/>
      <c r="I248" s="89"/>
    </row>
    <row r="249" spans="1:9">
      <c r="A249" s="90"/>
      <c r="B249" s="61"/>
      <c r="C249" s="61"/>
      <c r="D249" s="61"/>
      <c r="E249" s="61"/>
      <c r="F249" s="61"/>
      <c r="G249" s="61"/>
      <c r="H249" s="61"/>
      <c r="I249" s="61"/>
    </row>
    <row r="250" ht="15.75" spans="1:10">
      <c r="A250" s="91" t="s">
        <v>99</v>
      </c>
      <c r="B250" s="20"/>
      <c r="C250" s="20"/>
      <c r="D250" s="20"/>
      <c r="E250" s="20"/>
      <c r="F250" s="20"/>
      <c r="G250" s="20"/>
      <c r="H250" s="20"/>
      <c r="I250" s="20"/>
      <c r="J250" s="61"/>
    </row>
    <row r="251" ht="45" customHeight="1" spans="1:9">
      <c r="A251" s="92"/>
      <c r="B251" s="93" t="s">
        <v>100</v>
      </c>
      <c r="C251" s="94"/>
      <c r="D251" s="94"/>
      <c r="E251" s="94"/>
      <c r="F251" s="94"/>
      <c r="G251" s="94"/>
      <c r="H251" s="94"/>
      <c r="I251" s="95"/>
    </row>
    <row r="252" ht="15.75" spans="1:9">
      <c r="A252" s="91" t="s">
        <v>101</v>
      </c>
      <c r="B252" s="20"/>
      <c r="C252" s="20"/>
      <c r="D252" s="20"/>
      <c r="E252" s="20"/>
      <c r="F252" s="20"/>
      <c r="G252" s="20"/>
      <c r="H252" s="20"/>
      <c r="I252" s="20"/>
    </row>
    <row r="253" ht="85" customHeight="1" spans="1:9">
      <c r="A253" s="92"/>
      <c r="B253" s="93" t="s">
        <v>102</v>
      </c>
      <c r="C253" s="94"/>
      <c r="D253" s="94"/>
      <c r="E253" s="94"/>
      <c r="F253" s="94"/>
      <c r="G253" s="94"/>
      <c r="H253" s="94"/>
      <c r="I253" s="95"/>
    </row>
    <row r="254" ht="15.75" spans="1:9">
      <c r="A254" s="91" t="s">
        <v>103</v>
      </c>
      <c r="B254" s="20"/>
      <c r="C254" s="20"/>
      <c r="D254" s="20"/>
      <c r="E254" s="20"/>
      <c r="F254" s="20"/>
      <c r="G254" s="20"/>
      <c r="H254" s="20"/>
      <c r="I254" s="20"/>
    </row>
    <row r="255" ht="37.5" customHeight="1" spans="1:9">
      <c r="A255" s="92"/>
      <c r="B255" s="93" t="s">
        <v>104</v>
      </c>
      <c r="C255" s="94"/>
      <c r="D255" s="94"/>
      <c r="E255" s="94"/>
      <c r="F255" s="94"/>
      <c r="G255" s="94"/>
      <c r="H255" s="94"/>
      <c r="I255" s="95"/>
    </row>
    <row r="256" ht="15.75" spans="1:9">
      <c r="A256" s="91" t="s">
        <v>105</v>
      </c>
      <c r="B256" s="20"/>
      <c r="C256" s="20"/>
      <c r="D256" s="20"/>
      <c r="E256" s="20"/>
      <c r="F256" s="20"/>
      <c r="G256" s="20"/>
      <c r="H256" s="20"/>
      <c r="I256" s="20"/>
    </row>
    <row r="257" ht="37.5" customHeight="1" spans="1:9">
      <c r="A257" s="92"/>
      <c r="B257" s="93"/>
      <c r="C257" s="94"/>
      <c r="D257" s="94"/>
      <c r="E257" s="94"/>
      <c r="F257" s="94"/>
      <c r="G257" s="94"/>
      <c r="H257" s="94"/>
      <c r="I257" s="95"/>
    </row>
  </sheetData>
  <protectedRanges>
    <protectedRange sqref="B170:I170 B172 B174:I174 B176:I176 B179:I179 B181 B183:I183 B185:I185 B188:I188 B190 B192:I192 B194:I194 B197:I197 B199 B201:I201 B203:I203 B206:I206 B208 B210:I210 B212:I212" name="项目经验3" securityDescriptor=""/>
    <protectedRange sqref="B116 B116:I116 B118:I118 B120:I120 B122:I122 B125:I125 B127 B129:I129 B131:I131 B134:I134 B136 B138:I138 B140:I140 B143:I143 B145 B147:I147 B149:I149 B152:I152 B154 B156:I156 B158:I158" name="项目经验2" securityDescriptor=""/>
    <protectedRange sqref="B22 B27 B30:I30 B32 B35:I35 B37 B40:I40 B42 B45:I45 B47 B50:I50 B52 B55:I55 B57 B60:I60 B62 B65:I65 B67 B20:F20 B26 B24:F24 I24 B25:F25 I25 B71:C71 D71:G71 B80:G80 B89:G89" name="工作经历" securityDescriptor=""/>
    <protectedRange sqref="D12:I12 B13:I17" name="教育经历" securityDescriptor=""/>
    <protectedRange sqref="C4 E4 G4 I4 C5 E5 G5 C6 D6 E6 G6 H6 I6 C7 I7 C8 E8 G8 C9 F9 I8" name="个人信息" securityDescriptor=""/>
    <protectedRange sqref="B73 B75:I75 B77:I77 B82 B84:I84 B86:I86 B91 B93:I93 B95:I95 B98:I98 B100 B102:I102 B104:I104 B107:I107 B109 B111:I111 B113:I113" name="项目经验1" securityDescriptor=""/>
    <protectedRange sqref="B215:I215 B217 B219:I219 B221:I221 B224:I224 B226 B228:I228 B230:I230 B233:I233 B235 B237:I237 B239:I239 B242:I242 B244 B246:I246 B248:I248 B251 B253 B255 B257" name="项目经验4与其他" securityDescriptor=""/>
    <protectedRange sqref="B12:C12" name="教育经历_1" securityDescriptor=""/>
    <protectedRange sqref="G20 G24 G25" name="工作经历_1" securityDescriptor=""/>
    <protectedRange sqref="H20 H24 H25 H71 I20 I71 I80 H80 H89:I89" name="工作经历_2" securityDescriptor=""/>
  </protectedRanges>
  <mergeCells count="209">
    <mergeCell ref="A2:I2"/>
    <mergeCell ref="G5:H5"/>
    <mergeCell ref="C7:G7"/>
    <mergeCell ref="C9:D9"/>
    <mergeCell ref="F9:I9"/>
    <mergeCell ref="D19:E19"/>
    <mergeCell ref="D20:E20"/>
    <mergeCell ref="D21:I21"/>
    <mergeCell ref="B22:I22"/>
    <mergeCell ref="D24:E24"/>
    <mergeCell ref="D25:E25"/>
    <mergeCell ref="D26:I26"/>
    <mergeCell ref="B27:I27"/>
    <mergeCell ref="D29:E29"/>
    <mergeCell ref="D30:E30"/>
    <mergeCell ref="D31:I31"/>
    <mergeCell ref="B32:I32"/>
    <mergeCell ref="D34:E34"/>
    <mergeCell ref="D35:E35"/>
    <mergeCell ref="D36:I36"/>
    <mergeCell ref="B37:I37"/>
    <mergeCell ref="D39:E39"/>
    <mergeCell ref="D40:E40"/>
    <mergeCell ref="D41:I41"/>
    <mergeCell ref="B42:I42"/>
    <mergeCell ref="D44:E44"/>
    <mergeCell ref="D45:E45"/>
    <mergeCell ref="D46:I46"/>
    <mergeCell ref="B47:I47"/>
    <mergeCell ref="D49:E49"/>
    <mergeCell ref="D50:E50"/>
    <mergeCell ref="D51:I51"/>
    <mergeCell ref="B52:I52"/>
    <mergeCell ref="D54:E54"/>
    <mergeCell ref="D55:E55"/>
    <mergeCell ref="D56:I56"/>
    <mergeCell ref="B57:I57"/>
    <mergeCell ref="D59:E59"/>
    <mergeCell ref="D60:E60"/>
    <mergeCell ref="D61:I61"/>
    <mergeCell ref="B62:I62"/>
    <mergeCell ref="D64:E64"/>
    <mergeCell ref="D65:E65"/>
    <mergeCell ref="D66:I66"/>
    <mergeCell ref="B67:I67"/>
    <mergeCell ref="D70:E70"/>
    <mergeCell ref="D71:E71"/>
    <mergeCell ref="D72:I72"/>
    <mergeCell ref="B73:I73"/>
    <mergeCell ref="B75:E75"/>
    <mergeCell ref="F75:I75"/>
    <mergeCell ref="B77:E77"/>
    <mergeCell ref="F77:I77"/>
    <mergeCell ref="D79:E79"/>
    <mergeCell ref="D80:E80"/>
    <mergeCell ref="D81:I81"/>
    <mergeCell ref="B82:I82"/>
    <mergeCell ref="B84:E84"/>
    <mergeCell ref="F84:I84"/>
    <mergeCell ref="B86:E86"/>
    <mergeCell ref="F86:I86"/>
    <mergeCell ref="D88:E88"/>
    <mergeCell ref="D89:E89"/>
    <mergeCell ref="D90:I90"/>
    <mergeCell ref="B91:I91"/>
    <mergeCell ref="B93:E93"/>
    <mergeCell ref="F93:I93"/>
    <mergeCell ref="B95:E95"/>
    <mergeCell ref="F95:I95"/>
    <mergeCell ref="D97:E97"/>
    <mergeCell ref="D98:E98"/>
    <mergeCell ref="D99:I99"/>
    <mergeCell ref="B100:I100"/>
    <mergeCell ref="B102:E102"/>
    <mergeCell ref="F102:I102"/>
    <mergeCell ref="B104:E104"/>
    <mergeCell ref="F104:I104"/>
    <mergeCell ref="D106:E106"/>
    <mergeCell ref="D107:E107"/>
    <mergeCell ref="D108:I108"/>
    <mergeCell ref="B109:I109"/>
    <mergeCell ref="B111:E111"/>
    <mergeCell ref="F111:I111"/>
    <mergeCell ref="B113:E113"/>
    <mergeCell ref="F113:I113"/>
    <mergeCell ref="D115:E115"/>
    <mergeCell ref="D116:E116"/>
    <mergeCell ref="D117:I117"/>
    <mergeCell ref="B118:I118"/>
    <mergeCell ref="B120:E120"/>
    <mergeCell ref="F120:I120"/>
    <mergeCell ref="B122:E122"/>
    <mergeCell ref="F122:I122"/>
    <mergeCell ref="D124:E124"/>
    <mergeCell ref="D125:E125"/>
    <mergeCell ref="D126:I126"/>
    <mergeCell ref="B127:I127"/>
    <mergeCell ref="B129:E129"/>
    <mergeCell ref="F129:I129"/>
    <mergeCell ref="B131:E131"/>
    <mergeCell ref="F131:I131"/>
    <mergeCell ref="D133:E133"/>
    <mergeCell ref="D134:E134"/>
    <mergeCell ref="D135:I135"/>
    <mergeCell ref="B136:I136"/>
    <mergeCell ref="B138:E138"/>
    <mergeCell ref="F138:I138"/>
    <mergeCell ref="B140:E140"/>
    <mergeCell ref="F140:I140"/>
    <mergeCell ref="D142:E142"/>
    <mergeCell ref="D143:E143"/>
    <mergeCell ref="D144:I144"/>
    <mergeCell ref="B145:I145"/>
    <mergeCell ref="B147:E147"/>
    <mergeCell ref="F147:I147"/>
    <mergeCell ref="B149:E149"/>
    <mergeCell ref="F149:I149"/>
    <mergeCell ref="D151:E151"/>
    <mergeCell ref="D152:E152"/>
    <mergeCell ref="D153:I153"/>
    <mergeCell ref="B154:I154"/>
    <mergeCell ref="B156:E156"/>
    <mergeCell ref="F156:I156"/>
    <mergeCell ref="B158:E158"/>
    <mergeCell ref="F158:I158"/>
    <mergeCell ref="D160:E160"/>
    <mergeCell ref="D161:E161"/>
    <mergeCell ref="D162:I162"/>
    <mergeCell ref="B163:I163"/>
    <mergeCell ref="B165:E165"/>
    <mergeCell ref="F165:I165"/>
    <mergeCell ref="B167:E167"/>
    <mergeCell ref="F167:I167"/>
    <mergeCell ref="D169:E169"/>
    <mergeCell ref="D170:E170"/>
    <mergeCell ref="D171:I171"/>
    <mergeCell ref="B172:I172"/>
    <mergeCell ref="B174:E174"/>
    <mergeCell ref="F174:I174"/>
    <mergeCell ref="B176:E176"/>
    <mergeCell ref="F176:I176"/>
    <mergeCell ref="D178:E178"/>
    <mergeCell ref="D179:E179"/>
    <mergeCell ref="D180:I180"/>
    <mergeCell ref="B181:I181"/>
    <mergeCell ref="B183:E183"/>
    <mergeCell ref="F183:I183"/>
    <mergeCell ref="B185:E185"/>
    <mergeCell ref="F185:I185"/>
    <mergeCell ref="D187:E187"/>
    <mergeCell ref="D188:E188"/>
    <mergeCell ref="D189:I189"/>
    <mergeCell ref="B190:I190"/>
    <mergeCell ref="B192:E192"/>
    <mergeCell ref="F192:I192"/>
    <mergeCell ref="B194:E194"/>
    <mergeCell ref="F194:I194"/>
    <mergeCell ref="D196:E196"/>
    <mergeCell ref="D197:E197"/>
    <mergeCell ref="D198:I198"/>
    <mergeCell ref="B199:I199"/>
    <mergeCell ref="B201:E201"/>
    <mergeCell ref="F201:I201"/>
    <mergeCell ref="B203:E203"/>
    <mergeCell ref="F203:I203"/>
    <mergeCell ref="D205:E205"/>
    <mergeCell ref="D206:E206"/>
    <mergeCell ref="D207:I207"/>
    <mergeCell ref="B208:I208"/>
    <mergeCell ref="B210:E210"/>
    <mergeCell ref="F210:I210"/>
    <mergeCell ref="B212:E212"/>
    <mergeCell ref="F212:I212"/>
    <mergeCell ref="D214:E214"/>
    <mergeCell ref="D215:E215"/>
    <mergeCell ref="D216:I216"/>
    <mergeCell ref="B217:I217"/>
    <mergeCell ref="B219:E219"/>
    <mergeCell ref="F219:I219"/>
    <mergeCell ref="B221:E221"/>
    <mergeCell ref="F221:I221"/>
    <mergeCell ref="D223:E223"/>
    <mergeCell ref="D224:E224"/>
    <mergeCell ref="D225:I225"/>
    <mergeCell ref="B226:I226"/>
    <mergeCell ref="B228:E228"/>
    <mergeCell ref="F228:I228"/>
    <mergeCell ref="B230:E230"/>
    <mergeCell ref="F230:I230"/>
    <mergeCell ref="D232:E232"/>
    <mergeCell ref="D233:E233"/>
    <mergeCell ref="D234:I234"/>
    <mergeCell ref="B235:I235"/>
    <mergeCell ref="B237:E237"/>
    <mergeCell ref="F237:I237"/>
    <mergeCell ref="B239:E239"/>
    <mergeCell ref="F239:I239"/>
    <mergeCell ref="D241:E241"/>
    <mergeCell ref="D242:E242"/>
    <mergeCell ref="D243:I243"/>
    <mergeCell ref="B244:I244"/>
    <mergeCell ref="B246:E246"/>
    <mergeCell ref="F246:I246"/>
    <mergeCell ref="B248:E248"/>
    <mergeCell ref="F248:I248"/>
    <mergeCell ref="B251:I251"/>
    <mergeCell ref="B253:I253"/>
    <mergeCell ref="B255:I255"/>
    <mergeCell ref="B257:I257"/>
  </mergeCells>
  <conditionalFormatting sqref="I5">
    <cfRule type="containsText" dxfId="0" priority="1" operator="between" text="未通过">
      <formula>NOT(ISERROR(SEARCH("未通过",I5)))</formula>
    </cfRule>
    <cfRule type="containsText" dxfId="1" priority="2" operator="between" text="校验通过">
      <formula>NOT(ISERROR(SEARCH("校验通过",I5)))</formula>
    </cfRule>
  </conditionalFormatting>
  <dataValidations count="16">
    <dataValidation allowBlank="1" showInputMessage="1" showErrorMessage="1" promptTitle="-----填写提示-----" prompt="输入姓名" sqref="C4"/>
    <dataValidation type="list" allowBlank="1" showInputMessage="1" showErrorMessage="1" errorTitle="错误提示" error="性别输入有误" promptTitle="-----填写提示-----" prompt="输入性别" sqref="E4" errorStyle="information">
      <formula1>"男,女"</formula1>
    </dataValidation>
    <dataValidation type="date" operator="between" allowBlank="1" showInputMessage="1" showErrorMessage="1" errorTitle="错误提示" error="输入1951-1-1至2000-12-31之间的日期" promptTitle="-----填写提示-----" prompt="输入格式：1990-1-1" sqref="G4" errorStyle="information">
      <formula1>18629</formula1>
      <formula2>36891</formula2>
    </dataValidation>
    <dataValidation type="list" allowBlank="1" showInputMessage="1" showErrorMessage="1" errorTitle="错误提示" error="请选择学位" promptTitle="-----填写提示-----" prompt="输入学位" sqref="I4 E12:E17" errorStyle="information">
      <formula1>学位</formula1>
    </dataValidation>
    <dataValidation type="list" allowBlank="1" showInputMessage="1" showErrorMessage="1" promptTitle="-----填写提示-----" prompt="输入民族" sqref="C5">
      <formula1>民族</formula1>
    </dataValidation>
    <dataValidation type="list" allowBlank="1" showInputMessage="1" showErrorMessage="1" promptTitle="-----填写提示-----" prompt="输入证件类型" sqref="E5" errorStyle="information">
      <formula1>证件类型</formula1>
    </dataValidation>
    <dataValidation type="list" allowBlank="1" showInputMessage="1" showErrorMessage="1" errorTitle="错误提示" error="请选择正确的省份" promptTitle="-----输入提示-----" prompt="输入省份" sqref="C6 G6" errorStyle="information">
      <formula1>省</formula1>
    </dataValidation>
    <dataValidation type="list" allowBlank="1" showInputMessage="1" showErrorMessage="1" errorTitle="错误提示" error="请选择正确的城市" promptTitle="-----填写提示-----" prompt="输入城市" sqref="D6" errorStyle="information">
      <formula1>INDIRECT($C$6)</formula1>
    </dataValidation>
    <dataValidation type="list" allowBlank="1" showInputMessage="1" showErrorMessage="1" errorTitle="错误提示" error="请选择地区" promptTitle="-----填写提示-----" prompt="输入地区" sqref="E6" errorStyle="information">
      <formula1>INDIRECT($D$6)</formula1>
    </dataValidation>
    <dataValidation type="list" allowBlank="1" showInputMessage="1" showErrorMessage="1" errorTitle="错误提示" error="请选择正确的城市" promptTitle="-----填写提示-----" prompt="输入城市" sqref="H6" errorStyle="information">
      <formula1>INDIRECT($G$6)</formula1>
    </dataValidation>
    <dataValidation type="list" allowBlank="1" showInputMessage="1" showErrorMessage="1" errorTitle="错误提示" error="请选择地区" promptTitle="-----输入提示-----" prompt="输入地区" sqref="I6" errorStyle="information">
      <formula1>INDIRECT($H$6)</formula1>
    </dataValidation>
    <dataValidation allowBlank="1" showInputMessage="1" showErrorMessage="1" errorTitle="错误提示" error="请输入邮编" promptTitle="-----填写说明-----" prompt="输入邮编" sqref="I7"/>
    <dataValidation type="list" allowBlank="1" showInputMessage="1" sqref="C20 C25 C71 C80 C89">
      <formula1>"至今"</formula1>
    </dataValidation>
    <dataValidation type="list" allowBlank="1" showInputMessage="1" showErrorMessage="1" errorTitle="错误提示" error="请选择学历" promptTitle="-----输入提示-----" prompt="输入学历" sqref="F12:F17" errorStyle="information">
      <formula1>学历</formula1>
    </dataValidation>
    <dataValidation type="list" allowBlank="1" showInputMessage="1" showErrorMessage="1" errorTitle="错误提示" error="请选择入学/就读类型" promptTitle="-----填写提示-----" prompt="输入入学/就读类型" sqref="G12:G17" errorStyle="information">
      <formula1>INDIRECT($F12)</formula1>
    </dataValidation>
    <dataValidation type="list" allowBlank="1" showInputMessage="1" showErrorMessage="1" errorTitle="错误提示" error="输入是否全日制" promptTitle="-----填写提示-----" prompt="输入是否全日制" sqref="H12:H17" errorStyle="information">
      <formula1>是否全日制</formula1>
    </dataValidation>
  </dataValidations>
  <hyperlinks>
    <hyperlink ref="G8" r:id="rId15" display="651828863@qq.com"/>
  </hyperlinks>
  <pageMargins left="0.699305555555556" right="0.699305555555556" top="0.75" bottom="0.75" header="0.3" footer="0.3"/>
  <pageSetup paperSize="9" scale="70" orientation="portrait"/>
  <headerFooter/>
  <drawing r:id="rId1"/>
  <legacyDrawing r:id="rId2"/>
  <controls>
    <mc:AlternateContent xmlns:mc="http://schemas.openxmlformats.org/markup-compatibility/2006">
      <mc:Choice Requires="x14">
        <control shapeId="3075" r:id="rId3">
          <controlPr defaultSize="0" r:id="rId4">
            <anchor moveWithCells="1">
              <from>
                <xdr:col>3</xdr:col>
                <xdr:colOff>390525</xdr:colOff>
                <xdr:row>0</xdr:row>
                <xdr:rowOff>47625</xdr:rowOff>
              </from>
              <to>
                <xdr:col>4</xdr:col>
                <xdr:colOff>523875</xdr:colOff>
                <xdr:row>0</xdr:row>
                <xdr:rowOff>352425</xdr:rowOff>
              </to>
            </anchor>
          </controlPr>
        </control>
      </mc:Choice>
      <mc:Fallback>
        <control shapeId="3075" r:id="rId3"/>
      </mc:Fallback>
    </mc:AlternateContent>
    <mc:AlternateContent xmlns:mc="http://schemas.openxmlformats.org/markup-compatibility/2006">
      <mc:Choice Requires="x14">
        <control shapeId="3076" r:id="rId5">
          <controlPr defaultSize="0" r:id="rId6">
            <anchor moveWithCells="1">
              <from>
                <xdr:col>4</xdr:col>
                <xdr:colOff>523875</xdr:colOff>
                <xdr:row>0</xdr:row>
                <xdr:rowOff>47625</xdr:rowOff>
              </from>
              <to>
                <xdr:col>5</xdr:col>
                <xdr:colOff>657225</xdr:colOff>
                <xdr:row>0</xdr:row>
                <xdr:rowOff>352425</xdr:rowOff>
              </to>
            </anchor>
          </controlPr>
        </control>
      </mc:Choice>
      <mc:Fallback>
        <control shapeId="3076" r:id="rId5"/>
      </mc:Fallback>
    </mc:AlternateContent>
    <mc:AlternateContent xmlns:mc="http://schemas.openxmlformats.org/markup-compatibility/2006">
      <mc:Choice Requires="x14">
        <control shapeId="3077" r:id="rId7">
          <controlPr defaultSize="0" r:id="rId8">
            <anchor moveWithCells="1">
              <from>
                <xdr:col>5</xdr:col>
                <xdr:colOff>762000</xdr:colOff>
                <xdr:row>0</xdr:row>
                <xdr:rowOff>47625</xdr:rowOff>
              </from>
              <to>
                <xdr:col>6</xdr:col>
                <xdr:colOff>895350</xdr:colOff>
                <xdr:row>0</xdr:row>
                <xdr:rowOff>352425</xdr:rowOff>
              </to>
            </anchor>
          </controlPr>
        </control>
      </mc:Choice>
      <mc:Fallback>
        <control shapeId="3077" r:id="rId7"/>
      </mc:Fallback>
    </mc:AlternateContent>
    <mc:AlternateContent xmlns:mc="http://schemas.openxmlformats.org/markup-compatibility/2006">
      <mc:Choice Requires="x14">
        <control shapeId="3078" r:id="rId9">
          <controlPr defaultSize="0" r:id="rId10">
            <anchor moveWithCells="1">
              <from>
                <xdr:col>6</xdr:col>
                <xdr:colOff>904875</xdr:colOff>
                <xdr:row>0</xdr:row>
                <xdr:rowOff>47625</xdr:rowOff>
              </from>
              <to>
                <xdr:col>7</xdr:col>
                <xdr:colOff>942975</xdr:colOff>
                <xdr:row>0</xdr:row>
                <xdr:rowOff>352425</xdr:rowOff>
              </to>
            </anchor>
          </controlPr>
        </control>
      </mc:Choice>
      <mc:Fallback>
        <control shapeId="3078" r:id="rId9"/>
      </mc:Fallback>
    </mc:AlternateContent>
    <mc:AlternateContent xmlns:mc="http://schemas.openxmlformats.org/markup-compatibility/2006">
      <mc:Choice Requires="x14">
        <control shapeId="3080" r:id="rId11">
          <controlPr defaultSize="0" r:id="rId12">
            <anchor moveWithCells="1">
              <from>
                <xdr:col>1</xdr:col>
                <xdr:colOff>19050</xdr:colOff>
                <xdr:row>0</xdr:row>
                <xdr:rowOff>47625</xdr:rowOff>
              </from>
              <to>
                <xdr:col>2</xdr:col>
                <xdr:colOff>152400</xdr:colOff>
                <xdr:row>0</xdr:row>
                <xdr:rowOff>352425</xdr:rowOff>
              </to>
            </anchor>
          </controlPr>
        </control>
      </mc:Choice>
      <mc:Fallback>
        <control shapeId="3080" r:id="rId11"/>
      </mc:Fallback>
    </mc:AlternateContent>
    <mc:AlternateContent xmlns:mc="http://schemas.openxmlformats.org/markup-compatibility/2006">
      <mc:Choice Requires="x14">
        <control shapeId="3081" r:id="rId13">
          <controlPr defaultSize="0" r:id="rId14">
            <anchor moveWithCells="1">
              <from>
                <xdr:col>2</xdr:col>
                <xdr:colOff>152400</xdr:colOff>
                <xdr:row>0</xdr:row>
                <xdr:rowOff>47625</xdr:rowOff>
              </from>
              <to>
                <xdr:col>3</xdr:col>
                <xdr:colOff>285750</xdr:colOff>
                <xdr:row>0</xdr:row>
                <xdr:rowOff>352425</xdr:rowOff>
              </to>
            </anchor>
          </controlPr>
        </control>
      </mc:Choice>
      <mc:Fallback>
        <control shapeId="3081" r:id="rId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G2863"/>
  <sheetViews>
    <sheetView showGridLines="0" topLeftCell="R1" workbookViewId="0">
      <selection activeCell="W27" sqref="W27"/>
    </sheetView>
  </sheetViews>
  <sheetFormatPr defaultColWidth="9" defaultRowHeight="14.4"/>
  <cols>
    <col min="1" max="1" width="9" style="4"/>
    <col min="2" max="2" width="9" style="2"/>
    <col min="3" max="3" width="9" style="4"/>
    <col min="4" max="4" width="9" style="2"/>
    <col min="5" max="5" width="9" style="4"/>
    <col min="6" max="6" width="15.5" style="2" customWidth="1"/>
    <col min="7" max="7" width="9" style="5"/>
    <col min="8" max="8" width="17.25" style="5" customWidth="1"/>
    <col min="14" max="19" width="9" style="5"/>
    <col min="20" max="20" width="19.3796296296296" customWidth="1"/>
    <col min="21" max="21" width="9" customWidth="1"/>
    <col min="22" max="22" width="13.1296296296296" customWidth="1"/>
    <col min="23" max="23" width="15.3796296296296" customWidth="1"/>
    <col min="24" max="25" width="11.8796296296296" customWidth="1"/>
    <col min="26" max="26" width="13.1296296296296" customWidth="1"/>
    <col min="27" max="27" width="15.3796296296296" customWidth="1"/>
    <col min="28" max="31" width="13.1296296296296" customWidth="1"/>
    <col min="32" max="32" width="15.3796296296296" customWidth="1"/>
    <col min="33" max="33" width="12.25" customWidth="1"/>
  </cols>
  <sheetData>
    <row r="1" spans="1:33">
      <c r="A1" s="6" t="s">
        <v>106</v>
      </c>
      <c r="B1" s="7" t="s">
        <v>107</v>
      </c>
      <c r="D1" s="7" t="s">
        <v>108</v>
      </c>
      <c r="E1" s="6" t="s">
        <v>109</v>
      </c>
      <c r="F1" s="7" t="s">
        <v>110</v>
      </c>
      <c r="G1" s="6" t="s">
        <v>111</v>
      </c>
      <c r="H1" s="6" t="s">
        <v>112</v>
      </c>
      <c r="I1" s="7" t="s">
        <v>113</v>
      </c>
      <c r="J1" s="7" t="s">
        <v>114</v>
      </c>
      <c r="K1" s="7" t="s">
        <v>111</v>
      </c>
      <c r="L1" s="7" t="s">
        <v>112</v>
      </c>
      <c r="M1" s="10" t="s">
        <v>115</v>
      </c>
      <c r="N1" s="6" t="s">
        <v>116</v>
      </c>
      <c r="O1" s="6" t="s">
        <v>117</v>
      </c>
      <c r="P1" s="6" t="s">
        <v>113</v>
      </c>
      <c r="Q1" s="6" t="s">
        <v>114</v>
      </c>
      <c r="R1" s="6" t="s">
        <v>111</v>
      </c>
      <c r="S1" s="6" t="s">
        <v>112</v>
      </c>
      <c r="T1" s="7" t="s">
        <v>118</v>
      </c>
      <c r="U1" s="6" t="s">
        <v>119</v>
      </c>
      <c r="V1" s="7" t="s">
        <v>44</v>
      </c>
      <c r="W1" s="6" t="s">
        <v>120</v>
      </c>
      <c r="X1" s="6" t="s">
        <v>121</v>
      </c>
      <c r="Y1" s="6" t="s">
        <v>122</v>
      </c>
      <c r="Z1" s="6" t="s">
        <v>123</v>
      </c>
      <c r="AA1" s="6" t="s">
        <v>124</v>
      </c>
      <c r="AB1" s="6" t="s">
        <v>125</v>
      </c>
      <c r="AC1" s="6" t="s">
        <v>126</v>
      </c>
      <c r="AD1" s="6" t="s">
        <v>126</v>
      </c>
      <c r="AE1" s="6" t="s">
        <v>127</v>
      </c>
      <c r="AF1" s="6" t="s">
        <v>128</v>
      </c>
      <c r="AG1" s="7" t="s">
        <v>129</v>
      </c>
    </row>
    <row r="2" spans="1:33">
      <c r="A2" s="8">
        <v>1951</v>
      </c>
      <c r="B2" s="9">
        <v>1</v>
      </c>
      <c r="C2" s="8">
        <v>1</v>
      </c>
      <c r="D2" s="9" t="s">
        <v>12</v>
      </c>
      <c r="E2" s="8" t="s">
        <v>14</v>
      </c>
      <c r="F2" s="9" t="s">
        <v>10</v>
      </c>
      <c r="G2" s="8">
        <v>1</v>
      </c>
      <c r="H2" s="8" t="s">
        <v>130</v>
      </c>
      <c r="I2" s="9">
        <v>1</v>
      </c>
      <c r="J2" s="9" t="s">
        <v>130</v>
      </c>
      <c r="K2" s="9">
        <v>1</v>
      </c>
      <c r="L2" s="9" t="str">
        <f t="shared" ref="L2:L65" si="0">VLOOKUP(K2,$G$2:$H$35,2,FALSE)</f>
        <v>北京市</v>
      </c>
      <c r="M2" s="9" t="s">
        <v>131</v>
      </c>
      <c r="N2" s="8">
        <v>1</v>
      </c>
      <c r="O2" s="8" t="s">
        <v>132</v>
      </c>
      <c r="P2" s="8">
        <v>1</v>
      </c>
      <c r="Q2" s="8" t="str">
        <f>VLOOKUP(P2,I1:M2,2,FALSE)</f>
        <v>北京市</v>
      </c>
      <c r="R2" s="8">
        <f t="shared" ref="R2:R65" si="1">VLOOKUP(P2,$I$2:$M$346,3,FALSE)</f>
        <v>1</v>
      </c>
      <c r="S2" s="11" t="str">
        <f t="shared" ref="S2:S65" si="2">VLOOKUP(P2,$I$2:$M$346,4,FALSE)</f>
        <v>北京市</v>
      </c>
      <c r="T2" s="9" t="s">
        <v>121</v>
      </c>
      <c r="U2" s="11" t="s">
        <v>133</v>
      </c>
      <c r="V2" s="9" t="s">
        <v>45</v>
      </c>
      <c r="W2" s="11" t="s">
        <v>134</v>
      </c>
      <c r="X2" s="11" t="s">
        <v>134</v>
      </c>
      <c r="Y2" s="11" t="s">
        <v>134</v>
      </c>
      <c r="Z2" s="11" t="s">
        <v>134</v>
      </c>
      <c r="AA2" s="11" t="s">
        <v>134</v>
      </c>
      <c r="AB2" s="11" t="s">
        <v>134</v>
      </c>
      <c r="AC2" s="11" t="s">
        <v>134</v>
      </c>
      <c r="AD2" s="11" t="s">
        <v>134</v>
      </c>
      <c r="AE2" s="11" t="s">
        <v>134</v>
      </c>
      <c r="AF2" s="4" t="s">
        <v>134</v>
      </c>
      <c r="AG2" s="9" t="s">
        <v>46</v>
      </c>
    </row>
    <row r="3" spans="1:33">
      <c r="A3" s="4">
        <v>1952</v>
      </c>
      <c r="B3" s="2">
        <v>2</v>
      </c>
      <c r="C3" s="4">
        <v>2</v>
      </c>
      <c r="D3" s="2" t="s">
        <v>135</v>
      </c>
      <c r="E3" s="4" t="s">
        <v>136</v>
      </c>
      <c r="F3" s="2" t="s">
        <v>137</v>
      </c>
      <c r="G3" s="4">
        <v>2</v>
      </c>
      <c r="H3" s="4" t="s">
        <v>138</v>
      </c>
      <c r="I3" s="2">
        <v>2</v>
      </c>
      <c r="J3" s="2" t="s">
        <v>138</v>
      </c>
      <c r="K3" s="2">
        <v>2</v>
      </c>
      <c r="L3" s="2" t="str">
        <f t="shared" si="0"/>
        <v>天津市</v>
      </c>
      <c r="M3" s="2" t="s">
        <v>131</v>
      </c>
      <c r="N3" s="4">
        <v>2</v>
      </c>
      <c r="O3" s="4" t="s">
        <v>139</v>
      </c>
      <c r="P3" s="4">
        <v>1</v>
      </c>
      <c r="Q3" s="4" t="str">
        <f t="shared" ref="Q3:Q66" si="3">VLOOKUP(P3,$I$2:$J$346,2,FALSE)</f>
        <v>北京市</v>
      </c>
      <c r="R3" s="4">
        <f t="shared" si="1"/>
        <v>1</v>
      </c>
      <c r="S3" s="12" t="str">
        <f t="shared" si="2"/>
        <v>北京市</v>
      </c>
      <c r="T3" s="2" t="s">
        <v>122</v>
      </c>
      <c r="U3" s="12" t="s">
        <v>140</v>
      </c>
      <c r="V3" s="2" t="s">
        <v>141</v>
      </c>
      <c r="W3" s="12" t="s">
        <v>142</v>
      </c>
      <c r="X3" s="12" t="s">
        <v>142</v>
      </c>
      <c r="Y3" s="12" t="s">
        <v>142</v>
      </c>
      <c r="Z3" s="12" t="s">
        <v>142</v>
      </c>
      <c r="AA3" s="12" t="s">
        <v>142</v>
      </c>
      <c r="AB3" s="12" t="s">
        <v>142</v>
      </c>
      <c r="AC3" s="12" t="s">
        <v>142</v>
      </c>
      <c r="AD3" s="12" t="s">
        <v>142</v>
      </c>
      <c r="AE3" s="12" t="s">
        <v>142</v>
      </c>
      <c r="AF3" s="4" t="s">
        <v>142</v>
      </c>
      <c r="AG3" s="2" t="s">
        <v>143</v>
      </c>
    </row>
    <row r="4" spans="1:32">
      <c r="A4" s="4">
        <v>1953</v>
      </c>
      <c r="B4" s="2">
        <v>3</v>
      </c>
      <c r="C4" s="4">
        <v>3</v>
      </c>
      <c r="D4" s="2" t="s">
        <v>144</v>
      </c>
      <c r="F4" s="2" t="s">
        <v>145</v>
      </c>
      <c r="G4" s="4">
        <v>3</v>
      </c>
      <c r="H4" s="4" t="s">
        <v>146</v>
      </c>
      <c r="I4" s="2">
        <v>3</v>
      </c>
      <c r="J4" s="2" t="s">
        <v>147</v>
      </c>
      <c r="K4" s="2">
        <v>3</v>
      </c>
      <c r="L4" s="2" t="str">
        <f t="shared" si="0"/>
        <v>河北省</v>
      </c>
      <c r="M4" s="2" t="s">
        <v>148</v>
      </c>
      <c r="N4" s="4">
        <v>3</v>
      </c>
      <c r="O4" s="4" t="s">
        <v>149</v>
      </c>
      <c r="P4" s="4">
        <v>1</v>
      </c>
      <c r="Q4" s="4" t="str">
        <f t="shared" si="3"/>
        <v>北京市</v>
      </c>
      <c r="R4" s="4">
        <f t="shared" si="1"/>
        <v>1</v>
      </c>
      <c r="S4" s="12" t="str">
        <f t="shared" si="2"/>
        <v>北京市</v>
      </c>
      <c r="T4" s="2" t="s">
        <v>44</v>
      </c>
      <c r="V4" s="2" t="s">
        <v>150</v>
      </c>
      <c r="W4" s="12" t="s">
        <v>151</v>
      </c>
      <c r="X4" s="12" t="s">
        <v>151</v>
      </c>
      <c r="Y4" s="12" t="s">
        <v>151</v>
      </c>
      <c r="Z4" s="12" t="s">
        <v>151</v>
      </c>
      <c r="AA4" s="12" t="s">
        <v>151</v>
      </c>
      <c r="AB4" s="12" t="s">
        <v>151</v>
      </c>
      <c r="AC4" s="12" t="s">
        <v>151</v>
      </c>
      <c r="AD4" s="12" t="s">
        <v>151</v>
      </c>
      <c r="AE4" s="12" t="s">
        <v>151</v>
      </c>
      <c r="AF4" s="4" t="s">
        <v>151</v>
      </c>
    </row>
    <row r="5" spans="1:32">
      <c r="A5" s="4">
        <v>1954</v>
      </c>
      <c r="B5" s="2">
        <v>4</v>
      </c>
      <c r="C5" s="4">
        <v>4</v>
      </c>
      <c r="D5" s="2" t="s">
        <v>152</v>
      </c>
      <c r="F5" s="2" t="s">
        <v>153</v>
      </c>
      <c r="G5" s="4">
        <v>4</v>
      </c>
      <c r="H5" s="4" t="s">
        <v>154</v>
      </c>
      <c r="I5" s="2">
        <v>4</v>
      </c>
      <c r="J5" s="2" t="s">
        <v>155</v>
      </c>
      <c r="K5" s="2">
        <v>3</v>
      </c>
      <c r="L5" s="2" t="str">
        <f t="shared" si="0"/>
        <v>河北省</v>
      </c>
      <c r="M5" s="2" t="s">
        <v>156</v>
      </c>
      <c r="N5" s="4">
        <v>4</v>
      </c>
      <c r="O5" s="4" t="s">
        <v>157</v>
      </c>
      <c r="P5" s="4">
        <v>1</v>
      </c>
      <c r="Q5" s="4" t="str">
        <f t="shared" si="3"/>
        <v>北京市</v>
      </c>
      <c r="R5" s="4">
        <f t="shared" si="1"/>
        <v>1</v>
      </c>
      <c r="S5" s="12" t="str">
        <f t="shared" si="2"/>
        <v>北京市</v>
      </c>
      <c r="T5" s="2" t="s">
        <v>123</v>
      </c>
      <c r="W5" s="12" t="s">
        <v>158</v>
      </c>
      <c r="X5" s="12" t="s">
        <v>158</v>
      </c>
      <c r="Y5" s="12" t="s">
        <v>158</v>
      </c>
      <c r="Z5" s="12" t="s">
        <v>158</v>
      </c>
      <c r="AA5" s="12" t="s">
        <v>158</v>
      </c>
      <c r="AB5" s="12" t="s">
        <v>158</v>
      </c>
      <c r="AC5" s="12" t="s">
        <v>158</v>
      </c>
      <c r="AD5" s="12" t="s">
        <v>158</v>
      </c>
      <c r="AE5" s="12" t="s">
        <v>158</v>
      </c>
      <c r="AF5" s="12" t="s">
        <v>158</v>
      </c>
    </row>
    <row r="6" spans="1:20">
      <c r="A6" s="4">
        <v>1955</v>
      </c>
      <c r="B6" s="2">
        <v>5</v>
      </c>
      <c r="C6" s="4">
        <v>5</v>
      </c>
      <c r="D6" s="2" t="s">
        <v>159</v>
      </c>
      <c r="G6" s="4">
        <v>5</v>
      </c>
      <c r="H6" s="4" t="s">
        <v>160</v>
      </c>
      <c r="I6" s="2">
        <v>5</v>
      </c>
      <c r="J6" s="2" t="s">
        <v>161</v>
      </c>
      <c r="K6" s="2">
        <v>3</v>
      </c>
      <c r="L6" s="2" t="str">
        <f t="shared" si="0"/>
        <v>河北省</v>
      </c>
      <c r="M6" s="2" t="s">
        <v>162</v>
      </c>
      <c r="N6" s="4">
        <v>5</v>
      </c>
      <c r="O6" s="4" t="s">
        <v>163</v>
      </c>
      <c r="P6" s="4">
        <v>1</v>
      </c>
      <c r="Q6" s="4" t="str">
        <f t="shared" si="3"/>
        <v>北京市</v>
      </c>
      <c r="R6" s="4">
        <f t="shared" si="1"/>
        <v>1</v>
      </c>
      <c r="S6" s="12" t="str">
        <f t="shared" si="2"/>
        <v>北京市</v>
      </c>
      <c r="T6" s="2" t="s">
        <v>124</v>
      </c>
    </row>
    <row r="7" spans="1:20">
      <c r="A7" s="4">
        <v>1956</v>
      </c>
      <c r="B7" s="2">
        <v>6</v>
      </c>
      <c r="C7" s="4">
        <v>6</v>
      </c>
      <c r="D7" s="2" t="s">
        <v>164</v>
      </c>
      <c r="G7" s="4">
        <v>6</v>
      </c>
      <c r="H7" s="4" t="s">
        <v>165</v>
      </c>
      <c r="I7" s="2">
        <v>6</v>
      </c>
      <c r="J7" s="2" t="s">
        <v>166</v>
      </c>
      <c r="K7" s="2">
        <v>3</v>
      </c>
      <c r="L7" s="2" t="str">
        <f t="shared" si="0"/>
        <v>河北省</v>
      </c>
      <c r="M7" s="2" t="s">
        <v>167</v>
      </c>
      <c r="N7" s="4">
        <v>6</v>
      </c>
      <c r="O7" s="4" t="s">
        <v>168</v>
      </c>
      <c r="P7" s="4">
        <v>1</v>
      </c>
      <c r="Q7" s="4" t="str">
        <f t="shared" si="3"/>
        <v>北京市</v>
      </c>
      <c r="R7" s="4">
        <f t="shared" si="1"/>
        <v>1</v>
      </c>
      <c r="S7" s="12" t="str">
        <f t="shared" si="2"/>
        <v>北京市</v>
      </c>
      <c r="T7" s="9" t="s">
        <v>125</v>
      </c>
    </row>
    <row r="8" spans="1:20">
      <c r="A8" s="4">
        <v>1957</v>
      </c>
      <c r="B8" s="2">
        <v>7</v>
      </c>
      <c r="C8" s="4">
        <v>7</v>
      </c>
      <c r="D8" s="2" t="s">
        <v>169</v>
      </c>
      <c r="G8" s="4">
        <v>7</v>
      </c>
      <c r="H8" s="4" t="s">
        <v>170</v>
      </c>
      <c r="I8" s="2">
        <v>7</v>
      </c>
      <c r="J8" s="2" t="s">
        <v>171</v>
      </c>
      <c r="K8" s="2">
        <v>3</v>
      </c>
      <c r="L8" s="2" t="str">
        <f t="shared" si="0"/>
        <v>河北省</v>
      </c>
      <c r="M8" s="2" t="s">
        <v>172</v>
      </c>
      <c r="N8" s="4">
        <v>7</v>
      </c>
      <c r="O8" s="4" t="s">
        <v>173</v>
      </c>
      <c r="P8" s="4">
        <v>1</v>
      </c>
      <c r="Q8" s="4" t="str">
        <f t="shared" si="3"/>
        <v>北京市</v>
      </c>
      <c r="R8" s="4">
        <f t="shared" si="1"/>
        <v>1</v>
      </c>
      <c r="S8" s="12" t="str">
        <f t="shared" si="2"/>
        <v>北京市</v>
      </c>
      <c r="T8" s="2" t="s">
        <v>126</v>
      </c>
    </row>
    <row r="9" spans="1:20">
      <c r="A9" s="4">
        <v>1958</v>
      </c>
      <c r="B9" s="2">
        <v>8</v>
      </c>
      <c r="C9" s="4">
        <v>8</v>
      </c>
      <c r="D9" s="2" t="s">
        <v>174</v>
      </c>
      <c r="G9" s="4">
        <v>8</v>
      </c>
      <c r="H9" s="4" t="s">
        <v>175</v>
      </c>
      <c r="I9" s="2">
        <v>8</v>
      </c>
      <c r="J9" s="2" t="s">
        <v>176</v>
      </c>
      <c r="K9" s="2">
        <v>3</v>
      </c>
      <c r="L9" s="2" t="str">
        <f t="shared" si="0"/>
        <v>河北省</v>
      </c>
      <c r="M9" s="2" t="s">
        <v>177</v>
      </c>
      <c r="N9" s="4">
        <v>8</v>
      </c>
      <c r="O9" s="4" t="s">
        <v>178</v>
      </c>
      <c r="P9" s="4">
        <v>1</v>
      </c>
      <c r="Q9" s="4" t="str">
        <f t="shared" si="3"/>
        <v>北京市</v>
      </c>
      <c r="R9" s="4">
        <f t="shared" si="1"/>
        <v>1</v>
      </c>
      <c r="S9" s="12" t="str">
        <f t="shared" si="2"/>
        <v>北京市</v>
      </c>
      <c r="T9" s="2" t="s">
        <v>126</v>
      </c>
    </row>
    <row r="10" spans="1:20">
      <c r="A10" s="4">
        <v>1959</v>
      </c>
      <c r="B10" s="2">
        <v>9</v>
      </c>
      <c r="C10" s="4">
        <v>9</v>
      </c>
      <c r="D10" s="2" t="s">
        <v>179</v>
      </c>
      <c r="G10" s="4">
        <v>9</v>
      </c>
      <c r="H10" s="4" t="s">
        <v>180</v>
      </c>
      <c r="I10" s="2">
        <v>9</v>
      </c>
      <c r="J10" s="2" t="s">
        <v>181</v>
      </c>
      <c r="K10" s="2">
        <v>3</v>
      </c>
      <c r="L10" s="2" t="str">
        <f t="shared" si="0"/>
        <v>河北省</v>
      </c>
      <c r="M10" s="2" t="s">
        <v>182</v>
      </c>
      <c r="N10" s="4">
        <v>9</v>
      </c>
      <c r="O10" s="4" t="s">
        <v>183</v>
      </c>
      <c r="P10" s="4">
        <v>1</v>
      </c>
      <c r="Q10" s="4" t="str">
        <f t="shared" si="3"/>
        <v>北京市</v>
      </c>
      <c r="R10" s="4">
        <f t="shared" si="1"/>
        <v>1</v>
      </c>
      <c r="S10" s="12" t="str">
        <f t="shared" si="2"/>
        <v>北京市</v>
      </c>
      <c r="T10" s="2" t="s">
        <v>127</v>
      </c>
    </row>
    <row r="11" spans="1:20">
      <c r="A11" s="4">
        <v>1960</v>
      </c>
      <c r="B11" s="2">
        <v>10</v>
      </c>
      <c r="C11" s="4">
        <v>10</v>
      </c>
      <c r="D11" s="2" t="s">
        <v>184</v>
      </c>
      <c r="G11" s="4">
        <v>10</v>
      </c>
      <c r="H11" s="4" t="s">
        <v>185</v>
      </c>
      <c r="I11" s="2">
        <v>10</v>
      </c>
      <c r="J11" s="2" t="s">
        <v>186</v>
      </c>
      <c r="K11" s="2">
        <v>3</v>
      </c>
      <c r="L11" s="2" t="str">
        <f t="shared" si="0"/>
        <v>河北省</v>
      </c>
      <c r="M11" s="2" t="s">
        <v>187</v>
      </c>
      <c r="N11" s="4">
        <v>10</v>
      </c>
      <c r="O11" s="4" t="s">
        <v>188</v>
      </c>
      <c r="P11" s="4">
        <v>1</v>
      </c>
      <c r="Q11" s="4" t="str">
        <f t="shared" si="3"/>
        <v>北京市</v>
      </c>
      <c r="R11" s="4">
        <f t="shared" si="1"/>
        <v>1</v>
      </c>
      <c r="S11" s="12" t="str">
        <f t="shared" si="2"/>
        <v>北京市</v>
      </c>
      <c r="T11" s="2" t="s">
        <v>128</v>
      </c>
    </row>
    <row r="12" spans="1:20">
      <c r="A12" s="4">
        <v>1961</v>
      </c>
      <c r="B12" s="2">
        <v>11</v>
      </c>
      <c r="C12" s="4">
        <v>11</v>
      </c>
      <c r="D12" s="2" t="s">
        <v>189</v>
      </c>
      <c r="G12" s="4">
        <v>11</v>
      </c>
      <c r="H12" s="4" t="s">
        <v>190</v>
      </c>
      <c r="I12" s="2">
        <v>11</v>
      </c>
      <c r="J12" s="2" t="s">
        <v>191</v>
      </c>
      <c r="K12" s="2">
        <v>3</v>
      </c>
      <c r="L12" s="2" t="str">
        <f t="shared" si="0"/>
        <v>河北省</v>
      </c>
      <c r="M12" s="2" t="s">
        <v>192</v>
      </c>
      <c r="N12" s="4">
        <v>11</v>
      </c>
      <c r="O12" s="4" t="s">
        <v>193</v>
      </c>
      <c r="P12" s="4">
        <v>1</v>
      </c>
      <c r="Q12" s="4" t="str">
        <f t="shared" si="3"/>
        <v>北京市</v>
      </c>
      <c r="R12" s="4">
        <f t="shared" si="1"/>
        <v>1</v>
      </c>
      <c r="S12" s="4" t="str">
        <f t="shared" si="2"/>
        <v>北京市</v>
      </c>
      <c r="T12" s="2" t="s">
        <v>119</v>
      </c>
    </row>
    <row r="13" spans="1:20">
      <c r="A13" s="4">
        <v>1962</v>
      </c>
      <c r="B13" s="2">
        <v>12</v>
      </c>
      <c r="C13" s="4">
        <v>12</v>
      </c>
      <c r="D13" s="2" t="s">
        <v>194</v>
      </c>
      <c r="G13" s="4">
        <v>12</v>
      </c>
      <c r="H13" s="4" t="s">
        <v>195</v>
      </c>
      <c r="I13" s="2">
        <v>12</v>
      </c>
      <c r="J13" s="2" t="s">
        <v>196</v>
      </c>
      <c r="K13" s="2">
        <v>3</v>
      </c>
      <c r="L13" s="2" t="str">
        <f t="shared" si="0"/>
        <v>河北省</v>
      </c>
      <c r="M13" s="2" t="s">
        <v>197</v>
      </c>
      <c r="N13" s="4">
        <v>12</v>
      </c>
      <c r="O13" s="4" t="s">
        <v>198</v>
      </c>
      <c r="P13" s="4">
        <v>1</v>
      </c>
      <c r="Q13" s="4" t="str">
        <f t="shared" si="3"/>
        <v>北京市</v>
      </c>
      <c r="R13" s="4">
        <f t="shared" si="1"/>
        <v>1</v>
      </c>
      <c r="S13" s="4" t="str">
        <f t="shared" si="2"/>
        <v>北京市</v>
      </c>
      <c r="T13" s="2" t="s">
        <v>199</v>
      </c>
    </row>
    <row r="14" spans="1:19">
      <c r="A14" s="4">
        <v>1963</v>
      </c>
      <c r="C14" s="4">
        <v>13</v>
      </c>
      <c r="D14" s="2" t="s">
        <v>200</v>
      </c>
      <c r="G14" s="4">
        <v>13</v>
      </c>
      <c r="H14" s="4" t="s">
        <v>201</v>
      </c>
      <c r="I14" s="2">
        <v>13</v>
      </c>
      <c r="J14" s="2" t="s">
        <v>202</v>
      </c>
      <c r="K14" s="2">
        <v>3</v>
      </c>
      <c r="L14" s="2" t="str">
        <f t="shared" si="0"/>
        <v>河北省</v>
      </c>
      <c r="M14" s="2" t="s">
        <v>203</v>
      </c>
      <c r="N14" s="4">
        <v>13</v>
      </c>
      <c r="O14" s="4" t="s">
        <v>204</v>
      </c>
      <c r="P14" s="4">
        <v>1</v>
      </c>
      <c r="Q14" s="4" t="str">
        <f t="shared" si="3"/>
        <v>北京市</v>
      </c>
      <c r="R14" s="4">
        <f t="shared" si="1"/>
        <v>1</v>
      </c>
      <c r="S14" s="4" t="str">
        <f t="shared" si="2"/>
        <v>北京市</v>
      </c>
    </row>
    <row r="15" spans="1:19">
      <c r="A15" s="4">
        <v>1964</v>
      </c>
      <c r="C15" s="4">
        <v>14</v>
      </c>
      <c r="D15" s="2" t="s">
        <v>205</v>
      </c>
      <c r="G15" s="4">
        <v>14</v>
      </c>
      <c r="H15" s="4" t="s">
        <v>206</v>
      </c>
      <c r="I15" s="2">
        <v>14</v>
      </c>
      <c r="J15" s="2" t="s">
        <v>207</v>
      </c>
      <c r="K15" s="2">
        <v>4</v>
      </c>
      <c r="L15" s="2" t="str">
        <f t="shared" si="0"/>
        <v>山西省</v>
      </c>
      <c r="M15" s="2" t="s">
        <v>208</v>
      </c>
      <c r="N15" s="4">
        <v>14</v>
      </c>
      <c r="O15" s="4" t="s">
        <v>209</v>
      </c>
      <c r="P15" s="4">
        <v>1</v>
      </c>
      <c r="Q15" s="4" t="str">
        <f t="shared" si="3"/>
        <v>北京市</v>
      </c>
      <c r="R15" s="4">
        <f t="shared" si="1"/>
        <v>1</v>
      </c>
      <c r="S15" s="4" t="str">
        <f t="shared" si="2"/>
        <v>北京市</v>
      </c>
    </row>
    <row r="16" spans="1:19">
      <c r="A16" s="4">
        <v>1965</v>
      </c>
      <c r="C16" s="4">
        <v>15</v>
      </c>
      <c r="D16" s="2" t="s">
        <v>210</v>
      </c>
      <c r="G16" s="4">
        <v>15</v>
      </c>
      <c r="H16" s="4" t="s">
        <v>211</v>
      </c>
      <c r="I16" s="2">
        <v>15</v>
      </c>
      <c r="J16" s="2" t="s">
        <v>212</v>
      </c>
      <c r="K16" s="2">
        <v>4</v>
      </c>
      <c r="L16" s="2" t="str">
        <f t="shared" si="0"/>
        <v>山西省</v>
      </c>
      <c r="M16" s="2" t="s">
        <v>213</v>
      </c>
      <c r="N16" s="4">
        <v>15</v>
      </c>
      <c r="O16" s="4" t="s">
        <v>214</v>
      </c>
      <c r="P16" s="4">
        <v>1</v>
      </c>
      <c r="Q16" s="4" t="str">
        <f t="shared" si="3"/>
        <v>北京市</v>
      </c>
      <c r="R16" s="4">
        <f t="shared" si="1"/>
        <v>1</v>
      </c>
      <c r="S16" s="4" t="str">
        <f t="shared" si="2"/>
        <v>北京市</v>
      </c>
    </row>
    <row r="17" spans="1:19">
      <c r="A17" s="4">
        <v>1966</v>
      </c>
      <c r="C17" s="4">
        <v>16</v>
      </c>
      <c r="D17" s="2" t="s">
        <v>215</v>
      </c>
      <c r="G17" s="4">
        <v>16</v>
      </c>
      <c r="H17" s="4" t="s">
        <v>216</v>
      </c>
      <c r="I17" s="2">
        <v>16</v>
      </c>
      <c r="J17" s="2" t="s">
        <v>217</v>
      </c>
      <c r="K17" s="2">
        <v>4</v>
      </c>
      <c r="L17" s="2" t="str">
        <f t="shared" si="0"/>
        <v>山西省</v>
      </c>
      <c r="M17" s="2" t="s">
        <v>218</v>
      </c>
      <c r="N17" s="4">
        <v>16</v>
      </c>
      <c r="O17" s="4" t="s">
        <v>219</v>
      </c>
      <c r="P17" s="4">
        <v>1</v>
      </c>
      <c r="Q17" s="4" t="str">
        <f t="shared" si="3"/>
        <v>北京市</v>
      </c>
      <c r="R17" s="4">
        <f t="shared" si="1"/>
        <v>1</v>
      </c>
      <c r="S17" s="4" t="str">
        <f t="shared" si="2"/>
        <v>北京市</v>
      </c>
    </row>
    <row r="18" spans="1:19">
      <c r="A18" s="4">
        <v>1967</v>
      </c>
      <c r="C18" s="4">
        <v>17</v>
      </c>
      <c r="D18" s="2" t="s">
        <v>220</v>
      </c>
      <c r="G18" s="4">
        <v>17</v>
      </c>
      <c r="H18" s="4" t="s">
        <v>221</v>
      </c>
      <c r="I18" s="2">
        <v>17</v>
      </c>
      <c r="J18" s="2" t="s">
        <v>222</v>
      </c>
      <c r="K18" s="2">
        <v>4</v>
      </c>
      <c r="L18" s="2" t="str">
        <f t="shared" si="0"/>
        <v>山西省</v>
      </c>
      <c r="M18" s="2" t="s">
        <v>223</v>
      </c>
      <c r="N18" s="4">
        <v>17</v>
      </c>
      <c r="O18" s="4" t="s">
        <v>224</v>
      </c>
      <c r="P18" s="4">
        <v>1</v>
      </c>
      <c r="Q18" s="4" t="str">
        <f t="shared" si="3"/>
        <v>北京市</v>
      </c>
      <c r="R18" s="4">
        <f t="shared" si="1"/>
        <v>1</v>
      </c>
      <c r="S18" s="4" t="str">
        <f t="shared" si="2"/>
        <v>北京市</v>
      </c>
    </row>
    <row r="19" spans="1:19">
      <c r="A19" s="4">
        <v>1968</v>
      </c>
      <c r="C19" s="4">
        <v>18</v>
      </c>
      <c r="D19" s="2" t="s">
        <v>225</v>
      </c>
      <c r="G19" s="4">
        <v>18</v>
      </c>
      <c r="H19" s="4" t="s">
        <v>226</v>
      </c>
      <c r="I19" s="2">
        <v>18</v>
      </c>
      <c r="J19" s="2" t="s">
        <v>227</v>
      </c>
      <c r="K19" s="2">
        <v>4</v>
      </c>
      <c r="L19" s="2" t="str">
        <f t="shared" si="0"/>
        <v>山西省</v>
      </c>
      <c r="M19" s="2" t="s">
        <v>228</v>
      </c>
      <c r="N19" s="4">
        <v>18</v>
      </c>
      <c r="O19" s="4" t="s">
        <v>229</v>
      </c>
      <c r="P19" s="4">
        <v>1</v>
      </c>
      <c r="Q19" s="4" t="str">
        <f t="shared" si="3"/>
        <v>北京市</v>
      </c>
      <c r="R19" s="4">
        <f t="shared" si="1"/>
        <v>1</v>
      </c>
      <c r="S19" s="4" t="str">
        <f t="shared" si="2"/>
        <v>北京市</v>
      </c>
    </row>
    <row r="20" spans="1:19">
      <c r="A20" s="4">
        <v>1969</v>
      </c>
      <c r="C20" s="4">
        <v>19</v>
      </c>
      <c r="D20" s="2" t="s">
        <v>230</v>
      </c>
      <c r="G20" s="4">
        <v>19</v>
      </c>
      <c r="H20" s="4" t="s">
        <v>231</v>
      </c>
      <c r="I20" s="2">
        <v>19</v>
      </c>
      <c r="J20" s="2" t="s">
        <v>232</v>
      </c>
      <c r="K20" s="2">
        <v>4</v>
      </c>
      <c r="L20" s="2" t="str">
        <f t="shared" si="0"/>
        <v>山西省</v>
      </c>
      <c r="M20" s="2" t="s">
        <v>233</v>
      </c>
      <c r="N20" s="4">
        <v>19</v>
      </c>
      <c r="O20" s="4" t="s">
        <v>234</v>
      </c>
      <c r="P20" s="4">
        <v>2</v>
      </c>
      <c r="Q20" s="4" t="str">
        <f t="shared" si="3"/>
        <v>天津市</v>
      </c>
      <c r="R20" s="4">
        <f t="shared" si="1"/>
        <v>2</v>
      </c>
      <c r="S20" s="4" t="str">
        <f t="shared" si="2"/>
        <v>天津市</v>
      </c>
    </row>
    <row r="21" spans="1:19">
      <c r="A21" s="4">
        <v>1970</v>
      </c>
      <c r="C21" s="4">
        <v>20</v>
      </c>
      <c r="D21" s="2" t="s">
        <v>235</v>
      </c>
      <c r="G21" s="4">
        <v>20</v>
      </c>
      <c r="H21" s="4" t="s">
        <v>236</v>
      </c>
      <c r="I21" s="2">
        <v>20</v>
      </c>
      <c r="J21" s="2" t="s">
        <v>237</v>
      </c>
      <c r="K21" s="2">
        <v>4</v>
      </c>
      <c r="L21" s="2" t="str">
        <f t="shared" si="0"/>
        <v>山西省</v>
      </c>
      <c r="M21" s="2" t="s">
        <v>238</v>
      </c>
      <c r="N21" s="4">
        <v>20</v>
      </c>
      <c r="O21" s="4" t="s">
        <v>239</v>
      </c>
      <c r="P21" s="4">
        <v>2</v>
      </c>
      <c r="Q21" s="4" t="str">
        <f t="shared" si="3"/>
        <v>天津市</v>
      </c>
      <c r="R21" s="4">
        <f t="shared" si="1"/>
        <v>2</v>
      </c>
      <c r="S21" s="4" t="str">
        <f t="shared" si="2"/>
        <v>天津市</v>
      </c>
    </row>
    <row r="22" spans="1:19">
      <c r="A22" s="4">
        <v>1971</v>
      </c>
      <c r="C22" s="4">
        <v>21</v>
      </c>
      <c r="D22" s="2" t="s">
        <v>240</v>
      </c>
      <c r="G22" s="4">
        <v>21</v>
      </c>
      <c r="H22" s="4" t="s">
        <v>241</v>
      </c>
      <c r="I22" s="2">
        <v>21</v>
      </c>
      <c r="J22" s="2" t="s">
        <v>242</v>
      </c>
      <c r="K22" s="2">
        <v>4</v>
      </c>
      <c r="L22" s="2" t="str">
        <f t="shared" si="0"/>
        <v>山西省</v>
      </c>
      <c r="M22" s="2" t="s">
        <v>243</v>
      </c>
      <c r="N22" s="4">
        <v>21</v>
      </c>
      <c r="O22" s="4" t="s">
        <v>244</v>
      </c>
      <c r="P22" s="4">
        <v>2</v>
      </c>
      <c r="Q22" s="4" t="str">
        <f t="shared" si="3"/>
        <v>天津市</v>
      </c>
      <c r="R22" s="4">
        <f t="shared" si="1"/>
        <v>2</v>
      </c>
      <c r="S22" s="4" t="str">
        <f t="shared" si="2"/>
        <v>天津市</v>
      </c>
    </row>
    <row r="23" spans="1:19">
      <c r="A23" s="4">
        <v>1972</v>
      </c>
      <c r="C23" s="4">
        <v>22</v>
      </c>
      <c r="D23" s="2" t="s">
        <v>245</v>
      </c>
      <c r="G23" s="4">
        <v>22</v>
      </c>
      <c r="H23" s="4" t="s">
        <v>246</v>
      </c>
      <c r="I23" s="2">
        <v>22</v>
      </c>
      <c r="J23" s="2" t="s">
        <v>247</v>
      </c>
      <c r="K23" s="2">
        <v>4</v>
      </c>
      <c r="L23" s="2" t="str">
        <f t="shared" si="0"/>
        <v>山西省</v>
      </c>
      <c r="M23" s="2" t="s">
        <v>248</v>
      </c>
      <c r="N23" s="4">
        <v>22</v>
      </c>
      <c r="O23" s="4" t="s">
        <v>249</v>
      </c>
      <c r="P23" s="4">
        <v>2</v>
      </c>
      <c r="Q23" s="4" t="str">
        <f t="shared" si="3"/>
        <v>天津市</v>
      </c>
      <c r="R23" s="4">
        <f t="shared" si="1"/>
        <v>2</v>
      </c>
      <c r="S23" s="4" t="str">
        <f t="shared" si="2"/>
        <v>天津市</v>
      </c>
    </row>
    <row r="24" spans="1:19">
      <c r="A24" s="4">
        <v>1973</v>
      </c>
      <c r="C24" s="4">
        <v>23</v>
      </c>
      <c r="D24" s="2" t="s">
        <v>250</v>
      </c>
      <c r="G24" s="4">
        <v>23</v>
      </c>
      <c r="H24" s="4" t="s">
        <v>18</v>
      </c>
      <c r="I24" s="2">
        <v>23</v>
      </c>
      <c r="J24" s="2" t="s">
        <v>251</v>
      </c>
      <c r="K24" s="2">
        <v>4</v>
      </c>
      <c r="L24" s="2" t="str">
        <f t="shared" si="0"/>
        <v>山西省</v>
      </c>
      <c r="M24" s="2" t="s">
        <v>252</v>
      </c>
      <c r="N24" s="4">
        <v>23</v>
      </c>
      <c r="O24" s="4" t="s">
        <v>253</v>
      </c>
      <c r="P24" s="4">
        <v>2</v>
      </c>
      <c r="Q24" s="4" t="str">
        <f t="shared" si="3"/>
        <v>天津市</v>
      </c>
      <c r="R24" s="4">
        <f t="shared" si="1"/>
        <v>2</v>
      </c>
      <c r="S24" s="4" t="str">
        <f t="shared" si="2"/>
        <v>天津市</v>
      </c>
    </row>
    <row r="25" spans="1:19">
      <c r="A25" s="4">
        <v>1974</v>
      </c>
      <c r="C25" s="4">
        <v>24</v>
      </c>
      <c r="D25" s="2" t="s">
        <v>254</v>
      </c>
      <c r="G25" s="4">
        <v>24</v>
      </c>
      <c r="H25" s="4" t="s">
        <v>255</v>
      </c>
      <c r="I25" s="2">
        <v>24</v>
      </c>
      <c r="J25" s="2" t="s">
        <v>256</v>
      </c>
      <c r="K25" s="2">
        <v>4</v>
      </c>
      <c r="L25" s="2" t="str">
        <f t="shared" si="0"/>
        <v>山西省</v>
      </c>
      <c r="M25" s="2" t="s">
        <v>257</v>
      </c>
      <c r="N25" s="4">
        <v>24</v>
      </c>
      <c r="O25" s="4" t="s">
        <v>258</v>
      </c>
      <c r="P25" s="4">
        <v>2</v>
      </c>
      <c r="Q25" s="4" t="str">
        <f t="shared" si="3"/>
        <v>天津市</v>
      </c>
      <c r="R25" s="4">
        <f t="shared" si="1"/>
        <v>2</v>
      </c>
      <c r="S25" s="4" t="str">
        <f t="shared" si="2"/>
        <v>天津市</v>
      </c>
    </row>
    <row r="26" spans="1:19">
      <c r="A26" s="4">
        <v>1975</v>
      </c>
      <c r="C26" s="4">
        <v>25</v>
      </c>
      <c r="D26" s="2" t="s">
        <v>259</v>
      </c>
      <c r="G26" s="4">
        <v>25</v>
      </c>
      <c r="H26" s="4" t="s">
        <v>260</v>
      </c>
      <c r="I26" s="2">
        <v>25</v>
      </c>
      <c r="J26" s="2" t="s">
        <v>261</v>
      </c>
      <c r="K26" s="2">
        <v>5</v>
      </c>
      <c r="L26" s="2" t="str">
        <f t="shared" si="0"/>
        <v>内蒙古自治区</v>
      </c>
      <c r="M26" s="2" t="s">
        <v>262</v>
      </c>
      <c r="N26" s="4">
        <v>25</v>
      </c>
      <c r="O26" s="4" t="s">
        <v>263</v>
      </c>
      <c r="P26" s="4">
        <v>2</v>
      </c>
      <c r="Q26" s="4" t="str">
        <f t="shared" si="3"/>
        <v>天津市</v>
      </c>
      <c r="R26" s="4">
        <f t="shared" si="1"/>
        <v>2</v>
      </c>
      <c r="S26" s="4" t="str">
        <f t="shared" si="2"/>
        <v>天津市</v>
      </c>
    </row>
    <row r="27" spans="1:19">
      <c r="A27" s="4">
        <v>1976</v>
      </c>
      <c r="C27" s="4">
        <v>26</v>
      </c>
      <c r="D27" s="2" t="s">
        <v>264</v>
      </c>
      <c r="G27" s="4">
        <v>26</v>
      </c>
      <c r="H27" s="4" t="s">
        <v>265</v>
      </c>
      <c r="I27" s="2">
        <v>26</v>
      </c>
      <c r="J27" s="2" t="s">
        <v>266</v>
      </c>
      <c r="K27" s="2">
        <v>5</v>
      </c>
      <c r="L27" s="2" t="str">
        <f t="shared" si="0"/>
        <v>内蒙古自治区</v>
      </c>
      <c r="M27" s="2" t="s">
        <v>267</v>
      </c>
      <c r="N27" s="4">
        <v>26</v>
      </c>
      <c r="O27" s="4" t="s">
        <v>268</v>
      </c>
      <c r="P27" s="4">
        <v>2</v>
      </c>
      <c r="Q27" s="4" t="str">
        <f t="shared" si="3"/>
        <v>天津市</v>
      </c>
      <c r="R27" s="4">
        <f t="shared" si="1"/>
        <v>2</v>
      </c>
      <c r="S27" s="4" t="str">
        <f t="shared" si="2"/>
        <v>天津市</v>
      </c>
    </row>
    <row r="28" spans="1:19">
      <c r="A28" s="4">
        <v>1977</v>
      </c>
      <c r="C28" s="4">
        <v>27</v>
      </c>
      <c r="D28" s="2" t="s">
        <v>269</v>
      </c>
      <c r="G28" s="4">
        <v>27</v>
      </c>
      <c r="H28" s="4" t="s">
        <v>270</v>
      </c>
      <c r="I28" s="2">
        <v>27</v>
      </c>
      <c r="J28" s="2" t="s">
        <v>271</v>
      </c>
      <c r="K28" s="2">
        <v>5</v>
      </c>
      <c r="L28" s="2" t="str">
        <f t="shared" si="0"/>
        <v>内蒙古自治区</v>
      </c>
      <c r="M28" s="2" t="s">
        <v>272</v>
      </c>
      <c r="N28" s="4">
        <v>27</v>
      </c>
      <c r="O28" s="4" t="s">
        <v>273</v>
      </c>
      <c r="P28" s="4">
        <v>2</v>
      </c>
      <c r="Q28" s="4" t="str">
        <f t="shared" si="3"/>
        <v>天津市</v>
      </c>
      <c r="R28" s="4">
        <f t="shared" si="1"/>
        <v>2</v>
      </c>
      <c r="S28" s="4" t="str">
        <f t="shared" si="2"/>
        <v>天津市</v>
      </c>
    </row>
    <row r="29" spans="1:19">
      <c r="A29" s="4">
        <v>1978</v>
      </c>
      <c r="C29" s="4">
        <v>28</v>
      </c>
      <c r="D29" s="2" t="s">
        <v>274</v>
      </c>
      <c r="G29" s="4">
        <v>28</v>
      </c>
      <c r="H29" s="4" t="s">
        <v>275</v>
      </c>
      <c r="I29" s="2">
        <v>28</v>
      </c>
      <c r="J29" s="2" t="s">
        <v>276</v>
      </c>
      <c r="K29" s="2">
        <v>5</v>
      </c>
      <c r="L29" s="2" t="str">
        <f t="shared" si="0"/>
        <v>内蒙古自治区</v>
      </c>
      <c r="M29" s="2" t="s">
        <v>277</v>
      </c>
      <c r="N29" s="4">
        <v>28</v>
      </c>
      <c r="O29" s="4" t="s">
        <v>278</v>
      </c>
      <c r="P29" s="4">
        <v>2</v>
      </c>
      <c r="Q29" s="4" t="str">
        <f t="shared" si="3"/>
        <v>天津市</v>
      </c>
      <c r="R29" s="4">
        <f t="shared" si="1"/>
        <v>2</v>
      </c>
      <c r="S29" s="4" t="str">
        <f t="shared" si="2"/>
        <v>天津市</v>
      </c>
    </row>
    <row r="30" spans="1:19">
      <c r="A30" s="4">
        <v>1979</v>
      </c>
      <c r="C30" s="4">
        <v>29</v>
      </c>
      <c r="D30" s="2" t="s">
        <v>279</v>
      </c>
      <c r="G30" s="4">
        <v>29</v>
      </c>
      <c r="H30" s="4" t="s">
        <v>280</v>
      </c>
      <c r="I30" s="2">
        <v>29</v>
      </c>
      <c r="J30" s="2" t="s">
        <v>281</v>
      </c>
      <c r="K30" s="2">
        <v>5</v>
      </c>
      <c r="L30" s="2" t="str">
        <f t="shared" si="0"/>
        <v>内蒙古自治区</v>
      </c>
      <c r="M30" s="2" t="s">
        <v>282</v>
      </c>
      <c r="N30" s="4">
        <v>29</v>
      </c>
      <c r="O30" s="4" t="s">
        <v>283</v>
      </c>
      <c r="P30" s="4">
        <v>2</v>
      </c>
      <c r="Q30" s="4" t="str">
        <f t="shared" si="3"/>
        <v>天津市</v>
      </c>
      <c r="R30" s="4">
        <f t="shared" si="1"/>
        <v>2</v>
      </c>
      <c r="S30" s="4" t="str">
        <f t="shared" si="2"/>
        <v>天津市</v>
      </c>
    </row>
    <row r="31" spans="1:19">
      <c r="A31" s="4">
        <v>1980</v>
      </c>
      <c r="C31" s="4">
        <v>30</v>
      </c>
      <c r="D31" s="2" t="s">
        <v>284</v>
      </c>
      <c r="G31" s="4">
        <v>30</v>
      </c>
      <c r="H31" s="4" t="s">
        <v>285</v>
      </c>
      <c r="I31" s="2">
        <v>30</v>
      </c>
      <c r="J31" s="2" t="s">
        <v>286</v>
      </c>
      <c r="K31" s="2">
        <v>5</v>
      </c>
      <c r="L31" s="2" t="str">
        <f t="shared" si="0"/>
        <v>内蒙古自治区</v>
      </c>
      <c r="M31" s="2" t="s">
        <v>287</v>
      </c>
      <c r="N31" s="4">
        <v>30</v>
      </c>
      <c r="O31" s="4" t="s">
        <v>288</v>
      </c>
      <c r="P31" s="4">
        <v>2</v>
      </c>
      <c r="Q31" s="4" t="str">
        <f t="shared" si="3"/>
        <v>天津市</v>
      </c>
      <c r="R31" s="4">
        <f t="shared" si="1"/>
        <v>2</v>
      </c>
      <c r="S31" s="4" t="str">
        <f t="shared" si="2"/>
        <v>天津市</v>
      </c>
    </row>
    <row r="32" spans="1:19">
      <c r="A32" s="4">
        <v>1981</v>
      </c>
      <c r="C32" s="4">
        <v>31</v>
      </c>
      <c r="D32" s="2" t="s">
        <v>289</v>
      </c>
      <c r="G32" s="4">
        <v>31</v>
      </c>
      <c r="H32" s="4" t="s">
        <v>290</v>
      </c>
      <c r="I32" s="2">
        <v>31</v>
      </c>
      <c r="J32" s="2" t="s">
        <v>291</v>
      </c>
      <c r="K32" s="2">
        <v>5</v>
      </c>
      <c r="L32" s="2" t="str">
        <f t="shared" si="0"/>
        <v>内蒙古自治区</v>
      </c>
      <c r="M32" s="2" t="s">
        <v>292</v>
      </c>
      <c r="N32" s="4">
        <v>31</v>
      </c>
      <c r="O32" s="4" t="s">
        <v>293</v>
      </c>
      <c r="P32" s="4">
        <v>2</v>
      </c>
      <c r="Q32" s="4" t="str">
        <f t="shared" si="3"/>
        <v>天津市</v>
      </c>
      <c r="R32" s="4">
        <f t="shared" si="1"/>
        <v>2</v>
      </c>
      <c r="S32" s="4" t="str">
        <f t="shared" si="2"/>
        <v>天津市</v>
      </c>
    </row>
    <row r="33" spans="1:19">
      <c r="A33" s="4">
        <v>1982</v>
      </c>
      <c r="D33" s="2" t="s">
        <v>294</v>
      </c>
      <c r="G33" s="4">
        <v>32</v>
      </c>
      <c r="H33" s="4" t="s">
        <v>295</v>
      </c>
      <c r="I33" s="2">
        <v>32</v>
      </c>
      <c r="J33" s="2" t="s">
        <v>296</v>
      </c>
      <c r="K33" s="2">
        <v>5</v>
      </c>
      <c r="L33" s="2" t="str">
        <f t="shared" si="0"/>
        <v>内蒙古自治区</v>
      </c>
      <c r="M33" s="2" t="s">
        <v>297</v>
      </c>
      <c r="N33" s="4">
        <v>32</v>
      </c>
      <c r="O33" s="4" t="s">
        <v>298</v>
      </c>
      <c r="P33" s="4">
        <v>2</v>
      </c>
      <c r="Q33" s="4" t="str">
        <f t="shared" si="3"/>
        <v>天津市</v>
      </c>
      <c r="R33" s="4">
        <f t="shared" si="1"/>
        <v>2</v>
      </c>
      <c r="S33" s="4" t="str">
        <f t="shared" si="2"/>
        <v>天津市</v>
      </c>
    </row>
    <row r="34" spans="1:19">
      <c r="A34" s="4">
        <v>1983</v>
      </c>
      <c r="D34" s="2" t="s">
        <v>299</v>
      </c>
      <c r="G34" s="4">
        <v>33</v>
      </c>
      <c r="H34" s="4" t="s">
        <v>300</v>
      </c>
      <c r="I34" s="2">
        <v>33</v>
      </c>
      <c r="J34" s="2" t="s">
        <v>301</v>
      </c>
      <c r="K34" s="2">
        <v>5</v>
      </c>
      <c r="L34" s="2" t="str">
        <f t="shared" si="0"/>
        <v>内蒙古自治区</v>
      </c>
      <c r="M34" s="2" t="s">
        <v>302</v>
      </c>
      <c r="N34" s="4">
        <v>33</v>
      </c>
      <c r="O34" s="4" t="s">
        <v>303</v>
      </c>
      <c r="P34" s="4">
        <v>2</v>
      </c>
      <c r="Q34" s="4" t="str">
        <f t="shared" si="3"/>
        <v>天津市</v>
      </c>
      <c r="R34" s="4">
        <f t="shared" si="1"/>
        <v>2</v>
      </c>
      <c r="S34" s="4" t="str">
        <f t="shared" si="2"/>
        <v>天津市</v>
      </c>
    </row>
    <row r="35" spans="1:19">
      <c r="A35" s="4">
        <v>1984</v>
      </c>
      <c r="D35" s="2" t="s">
        <v>304</v>
      </c>
      <c r="G35" s="4">
        <v>34</v>
      </c>
      <c r="H35" s="4" t="s">
        <v>305</v>
      </c>
      <c r="I35" s="2">
        <v>34</v>
      </c>
      <c r="J35" s="2" t="s">
        <v>306</v>
      </c>
      <c r="K35" s="2">
        <v>5</v>
      </c>
      <c r="L35" s="2" t="str">
        <f t="shared" si="0"/>
        <v>内蒙古自治区</v>
      </c>
      <c r="M35" s="2" t="s">
        <v>307</v>
      </c>
      <c r="N35" s="4">
        <v>34</v>
      </c>
      <c r="O35" s="4" t="s">
        <v>308</v>
      </c>
      <c r="P35" s="4">
        <v>2</v>
      </c>
      <c r="Q35" s="4" t="str">
        <f t="shared" si="3"/>
        <v>天津市</v>
      </c>
      <c r="R35" s="4">
        <f t="shared" si="1"/>
        <v>2</v>
      </c>
      <c r="S35" s="4" t="str">
        <f t="shared" si="2"/>
        <v>天津市</v>
      </c>
    </row>
    <row r="36" spans="1:19">
      <c r="A36" s="4">
        <v>1985</v>
      </c>
      <c r="D36" s="2" t="s">
        <v>309</v>
      </c>
      <c r="I36" s="2">
        <v>35</v>
      </c>
      <c r="J36" s="2" t="s">
        <v>310</v>
      </c>
      <c r="K36" s="2">
        <v>5</v>
      </c>
      <c r="L36" s="2" t="str">
        <f t="shared" si="0"/>
        <v>内蒙古自治区</v>
      </c>
      <c r="M36" s="2" t="s">
        <v>311</v>
      </c>
      <c r="N36" s="4">
        <v>35</v>
      </c>
      <c r="O36" s="4" t="s">
        <v>312</v>
      </c>
      <c r="P36" s="4">
        <v>2</v>
      </c>
      <c r="Q36" s="4" t="str">
        <f t="shared" si="3"/>
        <v>天津市</v>
      </c>
      <c r="R36" s="4">
        <f t="shared" si="1"/>
        <v>2</v>
      </c>
      <c r="S36" s="4" t="str">
        <f t="shared" si="2"/>
        <v>天津市</v>
      </c>
    </row>
    <row r="37" spans="1:19">
      <c r="A37" s="4">
        <v>1986</v>
      </c>
      <c r="D37" s="2" t="s">
        <v>313</v>
      </c>
      <c r="I37" s="2">
        <v>36</v>
      </c>
      <c r="J37" s="2" t="s">
        <v>314</v>
      </c>
      <c r="K37" s="2">
        <v>5</v>
      </c>
      <c r="L37" s="2" t="str">
        <f t="shared" si="0"/>
        <v>内蒙古自治区</v>
      </c>
      <c r="M37" s="2" t="s">
        <v>272</v>
      </c>
      <c r="N37" s="4">
        <v>36</v>
      </c>
      <c r="O37" s="4" t="s">
        <v>315</v>
      </c>
      <c r="P37" s="4">
        <v>2</v>
      </c>
      <c r="Q37" s="4" t="str">
        <f t="shared" si="3"/>
        <v>天津市</v>
      </c>
      <c r="R37" s="4">
        <f t="shared" si="1"/>
        <v>2</v>
      </c>
      <c r="S37" s="4" t="str">
        <f t="shared" si="2"/>
        <v>天津市</v>
      </c>
    </row>
    <row r="38" spans="1:19">
      <c r="A38" s="4">
        <v>1987</v>
      </c>
      <c r="D38" s="2" t="s">
        <v>316</v>
      </c>
      <c r="I38" s="2">
        <v>37</v>
      </c>
      <c r="J38" s="2" t="s">
        <v>317</v>
      </c>
      <c r="K38" s="2">
        <v>6</v>
      </c>
      <c r="L38" s="2" t="str">
        <f t="shared" si="0"/>
        <v>辽宁省</v>
      </c>
      <c r="M38" s="2" t="s">
        <v>318</v>
      </c>
      <c r="N38" s="4">
        <v>37</v>
      </c>
      <c r="O38" s="4" t="s">
        <v>319</v>
      </c>
      <c r="P38" s="4">
        <v>3</v>
      </c>
      <c r="Q38" s="4" t="str">
        <f t="shared" si="3"/>
        <v>石家庄市</v>
      </c>
      <c r="R38" s="4">
        <f t="shared" si="1"/>
        <v>3</v>
      </c>
      <c r="S38" s="4" t="str">
        <f t="shared" si="2"/>
        <v>河北省</v>
      </c>
    </row>
    <row r="39" spans="1:19">
      <c r="A39" s="4">
        <v>1988</v>
      </c>
      <c r="D39" s="2" t="s">
        <v>320</v>
      </c>
      <c r="I39" s="2">
        <v>38</v>
      </c>
      <c r="J39" s="2" t="s">
        <v>321</v>
      </c>
      <c r="K39" s="2">
        <v>6</v>
      </c>
      <c r="L39" s="2" t="str">
        <f t="shared" si="0"/>
        <v>辽宁省</v>
      </c>
      <c r="M39" s="2" t="s">
        <v>322</v>
      </c>
      <c r="N39" s="4">
        <v>38</v>
      </c>
      <c r="O39" s="4" t="s">
        <v>323</v>
      </c>
      <c r="P39" s="4">
        <v>3</v>
      </c>
      <c r="Q39" s="4" t="str">
        <f t="shared" si="3"/>
        <v>石家庄市</v>
      </c>
      <c r="R39" s="4">
        <f t="shared" si="1"/>
        <v>3</v>
      </c>
      <c r="S39" s="4" t="str">
        <f t="shared" si="2"/>
        <v>河北省</v>
      </c>
    </row>
    <row r="40" spans="1:19">
      <c r="A40" s="4">
        <v>1989</v>
      </c>
      <c r="D40" s="2" t="s">
        <v>324</v>
      </c>
      <c r="I40" s="2">
        <v>39</v>
      </c>
      <c r="J40" s="2" t="s">
        <v>325</v>
      </c>
      <c r="K40" s="2">
        <v>6</v>
      </c>
      <c r="L40" s="2" t="str">
        <f t="shared" si="0"/>
        <v>辽宁省</v>
      </c>
      <c r="M40" s="2" t="s">
        <v>326</v>
      </c>
      <c r="N40" s="4">
        <v>39</v>
      </c>
      <c r="O40" s="4" t="s">
        <v>327</v>
      </c>
      <c r="P40" s="4">
        <v>3</v>
      </c>
      <c r="Q40" s="4" t="str">
        <f t="shared" si="3"/>
        <v>石家庄市</v>
      </c>
      <c r="R40" s="4">
        <f t="shared" si="1"/>
        <v>3</v>
      </c>
      <c r="S40" s="4" t="str">
        <f t="shared" si="2"/>
        <v>河北省</v>
      </c>
    </row>
    <row r="41" spans="1:19">
      <c r="A41" s="4">
        <v>1990</v>
      </c>
      <c r="D41" s="2" t="s">
        <v>328</v>
      </c>
      <c r="I41" s="2">
        <v>40</v>
      </c>
      <c r="J41" s="2" t="s">
        <v>329</v>
      </c>
      <c r="K41" s="2">
        <v>6</v>
      </c>
      <c r="L41" s="2" t="str">
        <f t="shared" si="0"/>
        <v>辽宁省</v>
      </c>
      <c r="M41" s="2" t="s">
        <v>330</v>
      </c>
      <c r="N41" s="4">
        <v>40</v>
      </c>
      <c r="O41" s="4" t="s">
        <v>331</v>
      </c>
      <c r="P41" s="4">
        <v>3</v>
      </c>
      <c r="Q41" s="4" t="str">
        <f t="shared" si="3"/>
        <v>石家庄市</v>
      </c>
      <c r="R41" s="4">
        <f t="shared" si="1"/>
        <v>3</v>
      </c>
      <c r="S41" s="4" t="str">
        <f t="shared" si="2"/>
        <v>河北省</v>
      </c>
    </row>
    <row r="42" spans="1:19">
      <c r="A42" s="4">
        <v>1991</v>
      </c>
      <c r="D42" s="2" t="s">
        <v>332</v>
      </c>
      <c r="I42" s="2">
        <v>41</v>
      </c>
      <c r="J42" s="2" t="s">
        <v>333</v>
      </c>
      <c r="K42" s="2">
        <v>6</v>
      </c>
      <c r="L42" s="2" t="str">
        <f t="shared" si="0"/>
        <v>辽宁省</v>
      </c>
      <c r="M42" s="2" t="s">
        <v>334</v>
      </c>
      <c r="N42" s="4">
        <v>41</v>
      </c>
      <c r="O42" s="4" t="s">
        <v>335</v>
      </c>
      <c r="P42" s="4">
        <v>3</v>
      </c>
      <c r="Q42" s="4" t="str">
        <f t="shared" si="3"/>
        <v>石家庄市</v>
      </c>
      <c r="R42" s="4">
        <f t="shared" si="1"/>
        <v>3</v>
      </c>
      <c r="S42" s="4" t="str">
        <f t="shared" si="2"/>
        <v>河北省</v>
      </c>
    </row>
    <row r="43" spans="1:19">
      <c r="A43" s="4">
        <v>1992</v>
      </c>
      <c r="D43" s="2" t="s">
        <v>336</v>
      </c>
      <c r="I43" s="2">
        <v>42</v>
      </c>
      <c r="J43" s="2" t="s">
        <v>337</v>
      </c>
      <c r="K43" s="2">
        <v>6</v>
      </c>
      <c r="L43" s="2" t="str">
        <f t="shared" si="0"/>
        <v>辽宁省</v>
      </c>
      <c r="M43" s="2" t="s">
        <v>338</v>
      </c>
      <c r="N43" s="4">
        <v>42</v>
      </c>
      <c r="O43" s="4" t="s">
        <v>339</v>
      </c>
      <c r="P43" s="4">
        <v>3</v>
      </c>
      <c r="Q43" s="4" t="str">
        <f t="shared" si="3"/>
        <v>石家庄市</v>
      </c>
      <c r="R43" s="4">
        <f t="shared" si="1"/>
        <v>3</v>
      </c>
      <c r="S43" s="4" t="str">
        <f t="shared" si="2"/>
        <v>河北省</v>
      </c>
    </row>
    <row r="44" spans="1:19">
      <c r="A44" s="4">
        <v>1993</v>
      </c>
      <c r="D44" s="2" t="s">
        <v>340</v>
      </c>
      <c r="I44" s="2">
        <v>43</v>
      </c>
      <c r="J44" s="2" t="s">
        <v>341</v>
      </c>
      <c r="K44" s="2">
        <v>6</v>
      </c>
      <c r="L44" s="2" t="str">
        <f t="shared" si="0"/>
        <v>辽宁省</v>
      </c>
      <c r="M44" s="2" t="s">
        <v>342</v>
      </c>
      <c r="N44" s="4">
        <v>43</v>
      </c>
      <c r="O44" s="4" t="s">
        <v>343</v>
      </c>
      <c r="P44" s="4">
        <v>3</v>
      </c>
      <c r="Q44" s="4" t="str">
        <f t="shared" si="3"/>
        <v>石家庄市</v>
      </c>
      <c r="R44" s="4">
        <f t="shared" si="1"/>
        <v>3</v>
      </c>
      <c r="S44" s="4" t="str">
        <f t="shared" si="2"/>
        <v>河北省</v>
      </c>
    </row>
    <row r="45" spans="1:19">
      <c r="A45" s="4">
        <v>1994</v>
      </c>
      <c r="D45" s="2" t="s">
        <v>344</v>
      </c>
      <c r="I45" s="2">
        <v>44</v>
      </c>
      <c r="J45" s="2" t="s">
        <v>345</v>
      </c>
      <c r="K45" s="2">
        <v>6</v>
      </c>
      <c r="L45" s="2" t="str">
        <f t="shared" si="0"/>
        <v>辽宁省</v>
      </c>
      <c r="M45" s="2" t="s">
        <v>346</v>
      </c>
      <c r="N45" s="4">
        <v>44</v>
      </c>
      <c r="O45" s="4" t="s">
        <v>347</v>
      </c>
      <c r="P45" s="4">
        <v>3</v>
      </c>
      <c r="Q45" s="4" t="str">
        <f t="shared" si="3"/>
        <v>石家庄市</v>
      </c>
      <c r="R45" s="4">
        <f t="shared" si="1"/>
        <v>3</v>
      </c>
      <c r="S45" s="4" t="str">
        <f t="shared" si="2"/>
        <v>河北省</v>
      </c>
    </row>
    <row r="46" spans="1:19">
      <c r="A46" s="4">
        <v>1995</v>
      </c>
      <c r="D46" s="2" t="s">
        <v>348</v>
      </c>
      <c r="I46" s="2">
        <v>45</v>
      </c>
      <c r="J46" s="2" t="s">
        <v>349</v>
      </c>
      <c r="K46" s="2">
        <v>6</v>
      </c>
      <c r="L46" s="2" t="str">
        <f t="shared" si="0"/>
        <v>辽宁省</v>
      </c>
      <c r="M46" s="2" t="s">
        <v>350</v>
      </c>
      <c r="N46" s="4">
        <v>45</v>
      </c>
      <c r="O46" s="4" t="s">
        <v>351</v>
      </c>
      <c r="P46" s="4">
        <v>3</v>
      </c>
      <c r="Q46" s="4" t="str">
        <f t="shared" si="3"/>
        <v>石家庄市</v>
      </c>
      <c r="R46" s="4">
        <f t="shared" si="1"/>
        <v>3</v>
      </c>
      <c r="S46" s="4" t="str">
        <f t="shared" si="2"/>
        <v>河北省</v>
      </c>
    </row>
    <row r="47" spans="1:19">
      <c r="A47" s="4">
        <v>1996</v>
      </c>
      <c r="D47" s="2" t="s">
        <v>352</v>
      </c>
      <c r="I47" s="2">
        <v>46</v>
      </c>
      <c r="J47" s="2" t="s">
        <v>353</v>
      </c>
      <c r="K47" s="2">
        <v>6</v>
      </c>
      <c r="L47" s="2" t="str">
        <f t="shared" si="0"/>
        <v>辽宁省</v>
      </c>
      <c r="M47" s="2" t="s">
        <v>354</v>
      </c>
      <c r="N47" s="4">
        <v>46</v>
      </c>
      <c r="O47" s="4" t="s">
        <v>355</v>
      </c>
      <c r="P47" s="4">
        <v>3</v>
      </c>
      <c r="Q47" s="4" t="str">
        <f t="shared" si="3"/>
        <v>石家庄市</v>
      </c>
      <c r="R47" s="4">
        <f t="shared" si="1"/>
        <v>3</v>
      </c>
      <c r="S47" s="4" t="str">
        <f t="shared" si="2"/>
        <v>河北省</v>
      </c>
    </row>
    <row r="48" spans="1:19">
      <c r="A48" s="4">
        <v>1997</v>
      </c>
      <c r="D48" s="2" t="s">
        <v>356</v>
      </c>
      <c r="I48" s="2">
        <v>47</v>
      </c>
      <c r="J48" s="2" t="s">
        <v>357</v>
      </c>
      <c r="K48" s="2">
        <v>6</v>
      </c>
      <c r="L48" s="2" t="str">
        <f t="shared" si="0"/>
        <v>辽宁省</v>
      </c>
      <c r="M48" s="2" t="s">
        <v>358</v>
      </c>
      <c r="N48" s="4">
        <v>47</v>
      </c>
      <c r="O48" s="4" t="s">
        <v>359</v>
      </c>
      <c r="P48" s="4">
        <v>3</v>
      </c>
      <c r="Q48" s="4" t="str">
        <f t="shared" si="3"/>
        <v>石家庄市</v>
      </c>
      <c r="R48" s="4">
        <f t="shared" si="1"/>
        <v>3</v>
      </c>
      <c r="S48" s="4" t="str">
        <f t="shared" si="2"/>
        <v>河北省</v>
      </c>
    </row>
    <row r="49" spans="1:19">
      <c r="A49" s="4">
        <v>1998</v>
      </c>
      <c r="D49" s="2" t="s">
        <v>360</v>
      </c>
      <c r="I49" s="2">
        <v>48</v>
      </c>
      <c r="J49" s="2" t="s">
        <v>361</v>
      </c>
      <c r="K49" s="2">
        <v>6</v>
      </c>
      <c r="L49" s="2" t="str">
        <f t="shared" si="0"/>
        <v>辽宁省</v>
      </c>
      <c r="M49" s="2" t="s">
        <v>362</v>
      </c>
      <c r="N49" s="4">
        <v>48</v>
      </c>
      <c r="O49" s="4" t="s">
        <v>363</v>
      </c>
      <c r="P49" s="4">
        <v>3</v>
      </c>
      <c r="Q49" s="4" t="str">
        <f t="shared" si="3"/>
        <v>石家庄市</v>
      </c>
      <c r="R49" s="4">
        <f t="shared" si="1"/>
        <v>3</v>
      </c>
      <c r="S49" s="4" t="str">
        <f t="shared" si="2"/>
        <v>河北省</v>
      </c>
    </row>
    <row r="50" spans="1:19">
      <c r="A50" s="4">
        <v>1999</v>
      </c>
      <c r="D50" s="2" t="s">
        <v>364</v>
      </c>
      <c r="I50" s="2">
        <v>49</v>
      </c>
      <c r="J50" s="2" t="s">
        <v>365</v>
      </c>
      <c r="K50" s="2">
        <v>6</v>
      </c>
      <c r="L50" s="2" t="str">
        <f t="shared" si="0"/>
        <v>辽宁省</v>
      </c>
      <c r="M50" s="2" t="s">
        <v>366</v>
      </c>
      <c r="N50" s="4">
        <v>49</v>
      </c>
      <c r="O50" s="4" t="s">
        <v>367</v>
      </c>
      <c r="P50" s="4">
        <v>3</v>
      </c>
      <c r="Q50" s="4" t="str">
        <f t="shared" si="3"/>
        <v>石家庄市</v>
      </c>
      <c r="R50" s="4">
        <f t="shared" si="1"/>
        <v>3</v>
      </c>
      <c r="S50" s="4" t="str">
        <f t="shared" si="2"/>
        <v>河北省</v>
      </c>
    </row>
    <row r="51" spans="1:19">
      <c r="A51" s="4">
        <v>2000</v>
      </c>
      <c r="D51" s="2" t="s">
        <v>368</v>
      </c>
      <c r="I51" s="2">
        <v>50</v>
      </c>
      <c r="J51" s="2" t="s">
        <v>369</v>
      </c>
      <c r="K51" s="2">
        <v>6</v>
      </c>
      <c r="L51" s="2" t="str">
        <f t="shared" si="0"/>
        <v>辽宁省</v>
      </c>
      <c r="M51" s="2" t="s">
        <v>370</v>
      </c>
      <c r="N51" s="4">
        <v>50</v>
      </c>
      <c r="O51" s="4" t="s">
        <v>371</v>
      </c>
      <c r="P51" s="4">
        <v>3</v>
      </c>
      <c r="Q51" s="4" t="str">
        <f t="shared" si="3"/>
        <v>石家庄市</v>
      </c>
      <c r="R51" s="4">
        <f t="shared" si="1"/>
        <v>3</v>
      </c>
      <c r="S51" s="4" t="str">
        <f t="shared" si="2"/>
        <v>河北省</v>
      </c>
    </row>
    <row r="52" spans="4:19">
      <c r="D52" s="2" t="s">
        <v>372</v>
      </c>
      <c r="I52" s="2">
        <v>51</v>
      </c>
      <c r="J52" s="2" t="s">
        <v>373</v>
      </c>
      <c r="K52" s="2">
        <v>7</v>
      </c>
      <c r="L52" s="2" t="str">
        <f t="shared" si="0"/>
        <v>吉林省</v>
      </c>
      <c r="M52" s="2" t="s">
        <v>374</v>
      </c>
      <c r="N52" s="4">
        <v>51</v>
      </c>
      <c r="O52" s="4" t="s">
        <v>375</v>
      </c>
      <c r="P52" s="4">
        <v>3</v>
      </c>
      <c r="Q52" s="4" t="str">
        <f t="shared" si="3"/>
        <v>石家庄市</v>
      </c>
      <c r="R52" s="4">
        <f t="shared" si="1"/>
        <v>3</v>
      </c>
      <c r="S52" s="4" t="str">
        <f t="shared" si="2"/>
        <v>河北省</v>
      </c>
    </row>
    <row r="53" spans="4:19">
      <c r="D53" s="2" t="s">
        <v>376</v>
      </c>
      <c r="I53" s="2">
        <v>52</v>
      </c>
      <c r="J53" s="2" t="s">
        <v>377</v>
      </c>
      <c r="K53" s="2">
        <v>7</v>
      </c>
      <c r="L53" s="2" t="str">
        <f t="shared" si="0"/>
        <v>吉林省</v>
      </c>
      <c r="M53" s="2" t="s">
        <v>378</v>
      </c>
      <c r="N53" s="4">
        <v>52</v>
      </c>
      <c r="O53" s="4" t="s">
        <v>379</v>
      </c>
      <c r="P53" s="4">
        <v>3</v>
      </c>
      <c r="Q53" s="4" t="str">
        <f t="shared" si="3"/>
        <v>石家庄市</v>
      </c>
      <c r="R53" s="4">
        <f t="shared" si="1"/>
        <v>3</v>
      </c>
      <c r="S53" s="4" t="str">
        <f t="shared" si="2"/>
        <v>河北省</v>
      </c>
    </row>
    <row r="54" spans="4:19">
      <c r="D54" s="2" t="s">
        <v>380</v>
      </c>
      <c r="I54" s="2">
        <v>53</v>
      </c>
      <c r="J54" s="2" t="s">
        <v>381</v>
      </c>
      <c r="K54" s="2">
        <v>7</v>
      </c>
      <c r="L54" s="2" t="str">
        <f t="shared" si="0"/>
        <v>吉林省</v>
      </c>
      <c r="M54" s="2" t="s">
        <v>382</v>
      </c>
      <c r="N54" s="4">
        <v>53</v>
      </c>
      <c r="O54" s="4" t="s">
        <v>383</v>
      </c>
      <c r="P54" s="4">
        <v>3</v>
      </c>
      <c r="Q54" s="4" t="str">
        <f t="shared" si="3"/>
        <v>石家庄市</v>
      </c>
      <c r="R54" s="4">
        <f t="shared" si="1"/>
        <v>3</v>
      </c>
      <c r="S54" s="4" t="str">
        <f t="shared" si="2"/>
        <v>河北省</v>
      </c>
    </row>
    <row r="55" spans="4:19">
      <c r="D55" s="2" t="s">
        <v>384</v>
      </c>
      <c r="I55" s="2">
        <v>54</v>
      </c>
      <c r="J55" s="2" t="s">
        <v>385</v>
      </c>
      <c r="K55" s="2">
        <v>7</v>
      </c>
      <c r="L55" s="2" t="str">
        <f t="shared" si="0"/>
        <v>吉林省</v>
      </c>
      <c r="M55" s="2" t="s">
        <v>386</v>
      </c>
      <c r="N55" s="4">
        <v>54</v>
      </c>
      <c r="O55" s="4" t="s">
        <v>387</v>
      </c>
      <c r="P55" s="4">
        <v>3</v>
      </c>
      <c r="Q55" s="4" t="str">
        <f t="shared" si="3"/>
        <v>石家庄市</v>
      </c>
      <c r="R55" s="4">
        <f t="shared" si="1"/>
        <v>3</v>
      </c>
      <c r="S55" s="4" t="str">
        <f t="shared" si="2"/>
        <v>河北省</v>
      </c>
    </row>
    <row r="56" spans="4:19">
      <c r="D56" s="2" t="s">
        <v>388</v>
      </c>
      <c r="I56" s="2">
        <v>55</v>
      </c>
      <c r="J56" s="2" t="s">
        <v>389</v>
      </c>
      <c r="K56" s="2">
        <v>7</v>
      </c>
      <c r="L56" s="2" t="str">
        <f t="shared" si="0"/>
        <v>吉林省</v>
      </c>
      <c r="M56" s="2" t="s">
        <v>390</v>
      </c>
      <c r="N56" s="4">
        <v>55</v>
      </c>
      <c r="O56" s="4" t="s">
        <v>391</v>
      </c>
      <c r="P56" s="4">
        <v>3</v>
      </c>
      <c r="Q56" s="4" t="str">
        <f t="shared" si="3"/>
        <v>石家庄市</v>
      </c>
      <c r="R56" s="4">
        <f t="shared" si="1"/>
        <v>3</v>
      </c>
      <c r="S56" s="4" t="str">
        <f t="shared" si="2"/>
        <v>河北省</v>
      </c>
    </row>
    <row r="57" spans="4:19">
      <c r="D57" s="2" t="s">
        <v>392</v>
      </c>
      <c r="I57" s="2">
        <v>56</v>
      </c>
      <c r="J57" s="2" t="s">
        <v>393</v>
      </c>
      <c r="K57" s="2">
        <v>7</v>
      </c>
      <c r="L57" s="2" t="str">
        <f t="shared" si="0"/>
        <v>吉林省</v>
      </c>
      <c r="M57" s="2" t="s">
        <v>394</v>
      </c>
      <c r="N57" s="4">
        <v>56</v>
      </c>
      <c r="O57" s="4" t="s">
        <v>395</v>
      </c>
      <c r="P57" s="4">
        <v>3</v>
      </c>
      <c r="Q57" s="4" t="str">
        <f t="shared" si="3"/>
        <v>石家庄市</v>
      </c>
      <c r="R57" s="4">
        <f t="shared" si="1"/>
        <v>3</v>
      </c>
      <c r="S57" s="4" t="str">
        <f t="shared" si="2"/>
        <v>河北省</v>
      </c>
    </row>
    <row r="58" spans="9:19">
      <c r="I58" s="2">
        <v>57</v>
      </c>
      <c r="J58" s="2" t="s">
        <v>396</v>
      </c>
      <c r="K58" s="2">
        <v>7</v>
      </c>
      <c r="L58" s="2" t="str">
        <f t="shared" si="0"/>
        <v>吉林省</v>
      </c>
      <c r="M58" s="2" t="s">
        <v>397</v>
      </c>
      <c r="N58" s="4">
        <v>57</v>
      </c>
      <c r="O58" s="4" t="s">
        <v>398</v>
      </c>
      <c r="P58" s="4">
        <v>3</v>
      </c>
      <c r="Q58" s="4" t="str">
        <f t="shared" si="3"/>
        <v>石家庄市</v>
      </c>
      <c r="R58" s="4">
        <f t="shared" si="1"/>
        <v>3</v>
      </c>
      <c r="S58" s="4" t="str">
        <f t="shared" si="2"/>
        <v>河北省</v>
      </c>
    </row>
    <row r="59" spans="9:19">
      <c r="I59" s="2">
        <v>58</v>
      </c>
      <c r="J59" s="2" t="s">
        <v>399</v>
      </c>
      <c r="K59" s="2">
        <v>7</v>
      </c>
      <c r="L59" s="2" t="str">
        <f t="shared" si="0"/>
        <v>吉林省</v>
      </c>
      <c r="M59" s="2" t="s">
        <v>400</v>
      </c>
      <c r="N59" s="4">
        <v>58</v>
      </c>
      <c r="O59" s="4" t="s">
        <v>401</v>
      </c>
      <c r="P59" s="4">
        <v>3</v>
      </c>
      <c r="Q59" s="4" t="str">
        <f t="shared" si="3"/>
        <v>石家庄市</v>
      </c>
      <c r="R59" s="4">
        <f t="shared" si="1"/>
        <v>3</v>
      </c>
      <c r="S59" s="4" t="str">
        <f t="shared" si="2"/>
        <v>河北省</v>
      </c>
    </row>
    <row r="60" spans="9:19">
      <c r="I60" s="2">
        <v>59</v>
      </c>
      <c r="J60" s="2" t="s">
        <v>402</v>
      </c>
      <c r="K60" s="2">
        <v>7</v>
      </c>
      <c r="L60" s="2" t="str">
        <f t="shared" si="0"/>
        <v>吉林省</v>
      </c>
      <c r="M60" s="2" t="s">
        <v>403</v>
      </c>
      <c r="N60" s="4">
        <v>59</v>
      </c>
      <c r="O60" s="4" t="s">
        <v>404</v>
      </c>
      <c r="P60" s="4">
        <v>3</v>
      </c>
      <c r="Q60" s="4" t="str">
        <f t="shared" si="3"/>
        <v>石家庄市</v>
      </c>
      <c r="R60" s="4">
        <f t="shared" si="1"/>
        <v>3</v>
      </c>
      <c r="S60" s="4" t="str">
        <f t="shared" si="2"/>
        <v>河北省</v>
      </c>
    </row>
    <row r="61" spans="9:19">
      <c r="I61" s="2">
        <v>60</v>
      </c>
      <c r="J61" s="2" t="s">
        <v>405</v>
      </c>
      <c r="K61" s="2">
        <v>8</v>
      </c>
      <c r="L61" s="2" t="str">
        <f t="shared" si="0"/>
        <v>黑龙江省</v>
      </c>
      <c r="M61" s="2" t="s">
        <v>406</v>
      </c>
      <c r="N61" s="4">
        <v>60</v>
      </c>
      <c r="O61" s="4" t="s">
        <v>407</v>
      </c>
      <c r="P61" s="4">
        <v>4</v>
      </c>
      <c r="Q61" s="4" t="str">
        <f t="shared" si="3"/>
        <v>唐山市</v>
      </c>
      <c r="R61" s="4">
        <f t="shared" si="1"/>
        <v>3</v>
      </c>
      <c r="S61" s="4" t="str">
        <f t="shared" si="2"/>
        <v>河北省</v>
      </c>
    </row>
    <row r="62" spans="9:19">
      <c r="I62" s="2">
        <v>61</v>
      </c>
      <c r="J62" s="2" t="s">
        <v>408</v>
      </c>
      <c r="K62" s="2">
        <v>8</v>
      </c>
      <c r="L62" s="2" t="str">
        <f t="shared" si="0"/>
        <v>黑龙江省</v>
      </c>
      <c r="M62" s="2" t="s">
        <v>409</v>
      </c>
      <c r="N62" s="4">
        <v>61</v>
      </c>
      <c r="O62" s="4" t="s">
        <v>410</v>
      </c>
      <c r="P62" s="4">
        <v>4</v>
      </c>
      <c r="Q62" s="4" t="str">
        <f t="shared" si="3"/>
        <v>唐山市</v>
      </c>
      <c r="R62" s="4">
        <f t="shared" si="1"/>
        <v>3</v>
      </c>
      <c r="S62" s="4" t="str">
        <f t="shared" si="2"/>
        <v>河北省</v>
      </c>
    </row>
    <row r="63" spans="9:19">
      <c r="I63" s="2">
        <v>62</v>
      </c>
      <c r="J63" s="2" t="s">
        <v>411</v>
      </c>
      <c r="K63" s="2">
        <v>8</v>
      </c>
      <c r="L63" s="2" t="str">
        <f t="shared" si="0"/>
        <v>黑龙江省</v>
      </c>
      <c r="M63" s="2" t="s">
        <v>412</v>
      </c>
      <c r="N63" s="4">
        <v>62</v>
      </c>
      <c r="O63" s="4" t="s">
        <v>413</v>
      </c>
      <c r="P63" s="4">
        <v>4</v>
      </c>
      <c r="Q63" s="4" t="str">
        <f t="shared" si="3"/>
        <v>唐山市</v>
      </c>
      <c r="R63" s="4">
        <f t="shared" si="1"/>
        <v>3</v>
      </c>
      <c r="S63" s="4" t="str">
        <f t="shared" si="2"/>
        <v>河北省</v>
      </c>
    </row>
    <row r="64" spans="9:19">
      <c r="I64" s="2">
        <v>63</v>
      </c>
      <c r="J64" s="2" t="s">
        <v>414</v>
      </c>
      <c r="K64" s="2">
        <v>8</v>
      </c>
      <c r="L64" s="2" t="str">
        <f t="shared" si="0"/>
        <v>黑龙江省</v>
      </c>
      <c r="M64" s="2" t="s">
        <v>415</v>
      </c>
      <c r="N64" s="4">
        <v>63</v>
      </c>
      <c r="O64" s="4" t="s">
        <v>416</v>
      </c>
      <c r="P64" s="4">
        <v>4</v>
      </c>
      <c r="Q64" s="4" t="str">
        <f t="shared" si="3"/>
        <v>唐山市</v>
      </c>
      <c r="R64" s="4">
        <f t="shared" si="1"/>
        <v>3</v>
      </c>
      <c r="S64" s="4" t="str">
        <f t="shared" si="2"/>
        <v>河北省</v>
      </c>
    </row>
    <row r="65" spans="9:19">
      <c r="I65" s="2">
        <v>64</v>
      </c>
      <c r="J65" s="2" t="s">
        <v>417</v>
      </c>
      <c r="K65" s="2">
        <v>8</v>
      </c>
      <c r="L65" s="2" t="str">
        <f t="shared" si="0"/>
        <v>黑龙江省</v>
      </c>
      <c r="M65" s="2" t="s">
        <v>418</v>
      </c>
      <c r="N65" s="4">
        <v>64</v>
      </c>
      <c r="O65" s="4" t="s">
        <v>419</v>
      </c>
      <c r="P65" s="4">
        <v>4</v>
      </c>
      <c r="Q65" s="4" t="str">
        <f t="shared" si="3"/>
        <v>唐山市</v>
      </c>
      <c r="R65" s="4">
        <f t="shared" si="1"/>
        <v>3</v>
      </c>
      <c r="S65" s="4" t="str">
        <f t="shared" si="2"/>
        <v>河北省</v>
      </c>
    </row>
    <row r="66" spans="9:19">
      <c r="I66" s="2">
        <v>65</v>
      </c>
      <c r="J66" s="2" t="s">
        <v>420</v>
      </c>
      <c r="K66" s="2">
        <v>8</v>
      </c>
      <c r="L66" s="2" t="str">
        <f t="shared" ref="L66:L129" si="4">VLOOKUP(K66,$G$2:$H$35,2,FALSE)</f>
        <v>黑龙江省</v>
      </c>
      <c r="M66" s="2" t="s">
        <v>421</v>
      </c>
      <c r="N66" s="4">
        <v>65</v>
      </c>
      <c r="O66" s="4" t="s">
        <v>422</v>
      </c>
      <c r="P66" s="4">
        <v>4</v>
      </c>
      <c r="Q66" s="4" t="str">
        <f t="shared" si="3"/>
        <v>唐山市</v>
      </c>
      <c r="R66" s="4">
        <f t="shared" ref="R66:R129" si="5">VLOOKUP(P66,$I$2:$M$346,3,FALSE)</f>
        <v>3</v>
      </c>
      <c r="S66" s="4" t="str">
        <f t="shared" ref="S66:S129" si="6">VLOOKUP(P66,$I$2:$M$346,4,FALSE)</f>
        <v>河北省</v>
      </c>
    </row>
    <row r="67" spans="9:19">
      <c r="I67" s="2">
        <v>66</v>
      </c>
      <c r="J67" s="2" t="s">
        <v>423</v>
      </c>
      <c r="K67" s="2">
        <v>8</v>
      </c>
      <c r="L67" s="2" t="str">
        <f t="shared" si="4"/>
        <v>黑龙江省</v>
      </c>
      <c r="M67" s="2" t="s">
        <v>424</v>
      </c>
      <c r="N67" s="4">
        <v>66</v>
      </c>
      <c r="O67" s="4" t="s">
        <v>425</v>
      </c>
      <c r="P67" s="4">
        <v>4</v>
      </c>
      <c r="Q67" s="4" t="str">
        <f t="shared" ref="Q67:Q130" si="7">VLOOKUP(P67,$I$2:$J$346,2,FALSE)</f>
        <v>唐山市</v>
      </c>
      <c r="R67" s="4">
        <f t="shared" si="5"/>
        <v>3</v>
      </c>
      <c r="S67" s="4" t="str">
        <f t="shared" si="6"/>
        <v>河北省</v>
      </c>
    </row>
    <row r="68" spans="9:19">
      <c r="I68" s="2">
        <v>67</v>
      </c>
      <c r="J68" s="2" t="s">
        <v>426</v>
      </c>
      <c r="K68" s="2">
        <v>8</v>
      </c>
      <c r="L68" s="2" t="str">
        <f t="shared" si="4"/>
        <v>黑龙江省</v>
      </c>
      <c r="M68" s="2" t="s">
        <v>427</v>
      </c>
      <c r="N68" s="4">
        <v>67</v>
      </c>
      <c r="O68" s="4" t="s">
        <v>428</v>
      </c>
      <c r="P68" s="4">
        <v>4</v>
      </c>
      <c r="Q68" s="4" t="str">
        <f t="shared" si="7"/>
        <v>唐山市</v>
      </c>
      <c r="R68" s="4">
        <f t="shared" si="5"/>
        <v>3</v>
      </c>
      <c r="S68" s="4" t="str">
        <f t="shared" si="6"/>
        <v>河北省</v>
      </c>
    </row>
    <row r="69" spans="9:19">
      <c r="I69" s="2">
        <v>68</v>
      </c>
      <c r="J69" s="2" t="s">
        <v>429</v>
      </c>
      <c r="K69" s="2">
        <v>8</v>
      </c>
      <c r="L69" s="2" t="str">
        <f t="shared" si="4"/>
        <v>黑龙江省</v>
      </c>
      <c r="M69" s="2" t="s">
        <v>430</v>
      </c>
      <c r="N69" s="4">
        <v>68</v>
      </c>
      <c r="O69" s="4" t="s">
        <v>431</v>
      </c>
      <c r="P69" s="4">
        <v>4</v>
      </c>
      <c r="Q69" s="4" t="str">
        <f t="shared" si="7"/>
        <v>唐山市</v>
      </c>
      <c r="R69" s="4">
        <f t="shared" si="5"/>
        <v>3</v>
      </c>
      <c r="S69" s="4" t="str">
        <f t="shared" si="6"/>
        <v>河北省</v>
      </c>
    </row>
    <row r="70" spans="9:19">
      <c r="I70" s="2">
        <v>69</v>
      </c>
      <c r="J70" s="2" t="s">
        <v>432</v>
      </c>
      <c r="K70" s="2">
        <v>8</v>
      </c>
      <c r="L70" s="2" t="str">
        <f t="shared" si="4"/>
        <v>黑龙江省</v>
      </c>
      <c r="M70" s="2" t="s">
        <v>433</v>
      </c>
      <c r="N70" s="4">
        <v>69</v>
      </c>
      <c r="O70" s="4" t="s">
        <v>434</v>
      </c>
      <c r="P70" s="4">
        <v>4</v>
      </c>
      <c r="Q70" s="4" t="str">
        <f t="shared" si="7"/>
        <v>唐山市</v>
      </c>
      <c r="R70" s="4">
        <f t="shared" si="5"/>
        <v>3</v>
      </c>
      <c r="S70" s="4" t="str">
        <f t="shared" si="6"/>
        <v>河北省</v>
      </c>
    </row>
    <row r="71" spans="9:19">
      <c r="I71" s="2">
        <v>70</v>
      </c>
      <c r="J71" s="2" t="s">
        <v>435</v>
      </c>
      <c r="K71" s="2">
        <v>8</v>
      </c>
      <c r="L71" s="2" t="str">
        <f t="shared" si="4"/>
        <v>黑龙江省</v>
      </c>
      <c r="M71" s="2" t="s">
        <v>436</v>
      </c>
      <c r="N71" s="4">
        <v>70</v>
      </c>
      <c r="O71" s="4" t="s">
        <v>437</v>
      </c>
      <c r="P71" s="4">
        <v>4</v>
      </c>
      <c r="Q71" s="4" t="str">
        <f t="shared" si="7"/>
        <v>唐山市</v>
      </c>
      <c r="R71" s="4">
        <f t="shared" si="5"/>
        <v>3</v>
      </c>
      <c r="S71" s="4" t="str">
        <f t="shared" si="6"/>
        <v>河北省</v>
      </c>
    </row>
    <row r="72" spans="9:19">
      <c r="I72" s="2">
        <v>71</v>
      </c>
      <c r="J72" s="2" t="s">
        <v>438</v>
      </c>
      <c r="K72" s="2">
        <v>8</v>
      </c>
      <c r="L72" s="2" t="str">
        <f t="shared" si="4"/>
        <v>黑龙江省</v>
      </c>
      <c r="M72" s="2" t="s">
        <v>439</v>
      </c>
      <c r="N72" s="4">
        <v>71</v>
      </c>
      <c r="O72" s="4" t="s">
        <v>440</v>
      </c>
      <c r="P72" s="4">
        <v>4</v>
      </c>
      <c r="Q72" s="4" t="str">
        <f t="shared" si="7"/>
        <v>唐山市</v>
      </c>
      <c r="R72" s="4">
        <f t="shared" si="5"/>
        <v>3</v>
      </c>
      <c r="S72" s="4" t="str">
        <f t="shared" si="6"/>
        <v>河北省</v>
      </c>
    </row>
    <row r="73" spans="9:19">
      <c r="I73" s="2">
        <v>72</v>
      </c>
      <c r="J73" s="2" t="s">
        <v>441</v>
      </c>
      <c r="K73" s="2">
        <v>8</v>
      </c>
      <c r="L73" s="2" t="str">
        <f t="shared" si="4"/>
        <v>黑龙江省</v>
      </c>
      <c r="M73" s="2" t="s">
        <v>442</v>
      </c>
      <c r="N73" s="4">
        <v>72</v>
      </c>
      <c r="O73" s="4" t="s">
        <v>443</v>
      </c>
      <c r="P73" s="4">
        <v>4</v>
      </c>
      <c r="Q73" s="4" t="str">
        <f t="shared" si="7"/>
        <v>唐山市</v>
      </c>
      <c r="R73" s="4">
        <f t="shared" si="5"/>
        <v>3</v>
      </c>
      <c r="S73" s="4" t="str">
        <f t="shared" si="6"/>
        <v>河北省</v>
      </c>
    </row>
    <row r="74" spans="9:19">
      <c r="I74" s="2">
        <v>73</v>
      </c>
      <c r="J74" s="2" t="s">
        <v>180</v>
      </c>
      <c r="K74" s="2">
        <v>9</v>
      </c>
      <c r="L74" s="2" t="str">
        <f t="shared" si="4"/>
        <v>上海市</v>
      </c>
      <c r="M74" s="2" t="s">
        <v>444</v>
      </c>
      <c r="N74" s="4">
        <v>73</v>
      </c>
      <c r="O74" s="4" t="s">
        <v>445</v>
      </c>
      <c r="P74" s="4">
        <v>4</v>
      </c>
      <c r="Q74" s="4" t="str">
        <f t="shared" si="7"/>
        <v>唐山市</v>
      </c>
      <c r="R74" s="4">
        <f t="shared" si="5"/>
        <v>3</v>
      </c>
      <c r="S74" s="4" t="str">
        <f t="shared" si="6"/>
        <v>河北省</v>
      </c>
    </row>
    <row r="75" spans="9:19">
      <c r="I75" s="2">
        <v>74</v>
      </c>
      <c r="J75" s="2" t="s">
        <v>446</v>
      </c>
      <c r="K75" s="2">
        <v>10</v>
      </c>
      <c r="L75" s="2" t="str">
        <f t="shared" si="4"/>
        <v>江苏省</v>
      </c>
      <c r="M75" s="2" t="s">
        <v>447</v>
      </c>
      <c r="N75" s="4">
        <v>74</v>
      </c>
      <c r="O75" s="4" t="s">
        <v>448</v>
      </c>
      <c r="P75" s="4">
        <v>5</v>
      </c>
      <c r="Q75" s="4" t="str">
        <f t="shared" si="7"/>
        <v>秦皇岛市</v>
      </c>
      <c r="R75" s="4">
        <f t="shared" si="5"/>
        <v>3</v>
      </c>
      <c r="S75" s="4" t="str">
        <f t="shared" si="6"/>
        <v>河北省</v>
      </c>
    </row>
    <row r="76" spans="9:19">
      <c r="I76" s="2">
        <v>75</v>
      </c>
      <c r="J76" s="2" t="s">
        <v>449</v>
      </c>
      <c r="K76" s="2">
        <v>10</v>
      </c>
      <c r="L76" s="2" t="str">
        <f t="shared" si="4"/>
        <v>江苏省</v>
      </c>
      <c r="M76" s="2" t="s">
        <v>450</v>
      </c>
      <c r="N76" s="4">
        <v>75</v>
      </c>
      <c r="O76" s="4" t="s">
        <v>451</v>
      </c>
      <c r="P76" s="4">
        <v>5</v>
      </c>
      <c r="Q76" s="4" t="str">
        <f t="shared" si="7"/>
        <v>秦皇岛市</v>
      </c>
      <c r="R76" s="4">
        <f t="shared" si="5"/>
        <v>3</v>
      </c>
      <c r="S76" s="4" t="str">
        <f t="shared" si="6"/>
        <v>河北省</v>
      </c>
    </row>
    <row r="77" spans="9:19">
      <c r="I77" s="2">
        <v>76</v>
      </c>
      <c r="J77" s="2" t="s">
        <v>452</v>
      </c>
      <c r="K77" s="2">
        <v>10</v>
      </c>
      <c r="L77" s="2" t="str">
        <f t="shared" si="4"/>
        <v>江苏省</v>
      </c>
      <c r="M77" s="2" t="s">
        <v>453</v>
      </c>
      <c r="N77" s="4">
        <v>76</v>
      </c>
      <c r="O77" s="4" t="s">
        <v>454</v>
      </c>
      <c r="P77" s="4">
        <v>5</v>
      </c>
      <c r="Q77" s="4" t="str">
        <f t="shared" si="7"/>
        <v>秦皇岛市</v>
      </c>
      <c r="R77" s="4">
        <f t="shared" si="5"/>
        <v>3</v>
      </c>
      <c r="S77" s="4" t="str">
        <f t="shared" si="6"/>
        <v>河北省</v>
      </c>
    </row>
    <row r="78" spans="9:19">
      <c r="I78" s="2">
        <v>77</v>
      </c>
      <c r="J78" s="2" t="s">
        <v>455</v>
      </c>
      <c r="K78" s="2">
        <v>10</v>
      </c>
      <c r="L78" s="2" t="str">
        <f t="shared" si="4"/>
        <v>江苏省</v>
      </c>
      <c r="M78" s="2" t="s">
        <v>456</v>
      </c>
      <c r="N78" s="4">
        <v>77</v>
      </c>
      <c r="O78" s="4" t="s">
        <v>457</v>
      </c>
      <c r="P78" s="4">
        <v>5</v>
      </c>
      <c r="Q78" s="4" t="str">
        <f t="shared" si="7"/>
        <v>秦皇岛市</v>
      </c>
      <c r="R78" s="4">
        <f t="shared" si="5"/>
        <v>3</v>
      </c>
      <c r="S78" s="4" t="str">
        <f t="shared" si="6"/>
        <v>河北省</v>
      </c>
    </row>
    <row r="79" spans="9:19">
      <c r="I79" s="2">
        <v>78</v>
      </c>
      <c r="J79" s="2" t="s">
        <v>458</v>
      </c>
      <c r="K79" s="2">
        <v>10</v>
      </c>
      <c r="L79" s="2" t="str">
        <f t="shared" si="4"/>
        <v>江苏省</v>
      </c>
      <c r="M79" s="2" t="s">
        <v>459</v>
      </c>
      <c r="N79" s="4">
        <v>78</v>
      </c>
      <c r="O79" s="4" t="s">
        <v>460</v>
      </c>
      <c r="P79" s="4">
        <v>5</v>
      </c>
      <c r="Q79" s="4" t="str">
        <f t="shared" si="7"/>
        <v>秦皇岛市</v>
      </c>
      <c r="R79" s="4">
        <f t="shared" si="5"/>
        <v>3</v>
      </c>
      <c r="S79" s="4" t="str">
        <f t="shared" si="6"/>
        <v>河北省</v>
      </c>
    </row>
    <row r="80" spans="9:19">
      <c r="I80" s="2">
        <v>79</v>
      </c>
      <c r="J80" s="2" t="s">
        <v>461</v>
      </c>
      <c r="K80" s="2">
        <v>10</v>
      </c>
      <c r="L80" s="2" t="str">
        <f t="shared" si="4"/>
        <v>江苏省</v>
      </c>
      <c r="M80" s="2" t="s">
        <v>462</v>
      </c>
      <c r="N80" s="4">
        <v>79</v>
      </c>
      <c r="O80" s="4" t="s">
        <v>463</v>
      </c>
      <c r="P80" s="4">
        <v>5</v>
      </c>
      <c r="Q80" s="4" t="str">
        <f t="shared" si="7"/>
        <v>秦皇岛市</v>
      </c>
      <c r="R80" s="4">
        <f t="shared" si="5"/>
        <v>3</v>
      </c>
      <c r="S80" s="4" t="str">
        <f t="shared" si="6"/>
        <v>河北省</v>
      </c>
    </row>
    <row r="81" spans="9:19">
      <c r="I81" s="2">
        <v>80</v>
      </c>
      <c r="J81" s="2" t="s">
        <v>464</v>
      </c>
      <c r="K81" s="2">
        <v>10</v>
      </c>
      <c r="L81" s="2" t="str">
        <f t="shared" si="4"/>
        <v>江苏省</v>
      </c>
      <c r="M81" s="2" t="s">
        <v>465</v>
      </c>
      <c r="N81" s="4">
        <v>80</v>
      </c>
      <c r="O81" s="4" t="s">
        <v>466</v>
      </c>
      <c r="P81" s="4">
        <v>5</v>
      </c>
      <c r="Q81" s="4" t="str">
        <f t="shared" si="7"/>
        <v>秦皇岛市</v>
      </c>
      <c r="R81" s="4">
        <f t="shared" si="5"/>
        <v>3</v>
      </c>
      <c r="S81" s="4" t="str">
        <f t="shared" si="6"/>
        <v>河北省</v>
      </c>
    </row>
    <row r="82" spans="9:19">
      <c r="I82" s="2">
        <v>81</v>
      </c>
      <c r="J82" s="2" t="s">
        <v>467</v>
      </c>
      <c r="K82" s="2">
        <v>10</v>
      </c>
      <c r="L82" s="2" t="str">
        <f t="shared" si="4"/>
        <v>江苏省</v>
      </c>
      <c r="M82" s="2" t="s">
        <v>468</v>
      </c>
      <c r="N82" s="4">
        <v>81</v>
      </c>
      <c r="O82" s="4" t="s">
        <v>469</v>
      </c>
      <c r="P82" s="4">
        <v>6</v>
      </c>
      <c r="Q82" s="4" t="str">
        <f t="shared" si="7"/>
        <v>邯郸市</v>
      </c>
      <c r="R82" s="4">
        <f t="shared" si="5"/>
        <v>3</v>
      </c>
      <c r="S82" s="4" t="str">
        <f t="shared" si="6"/>
        <v>河北省</v>
      </c>
    </row>
    <row r="83" spans="9:19">
      <c r="I83" s="2">
        <v>82</v>
      </c>
      <c r="J83" s="2" t="s">
        <v>470</v>
      </c>
      <c r="K83" s="2">
        <v>10</v>
      </c>
      <c r="L83" s="2" t="str">
        <f t="shared" si="4"/>
        <v>江苏省</v>
      </c>
      <c r="M83" s="2" t="s">
        <v>471</v>
      </c>
      <c r="N83" s="4">
        <v>82</v>
      </c>
      <c r="O83" s="4" t="s">
        <v>472</v>
      </c>
      <c r="P83" s="4">
        <v>6</v>
      </c>
      <c r="Q83" s="4" t="str">
        <f t="shared" si="7"/>
        <v>邯郸市</v>
      </c>
      <c r="R83" s="4">
        <f t="shared" si="5"/>
        <v>3</v>
      </c>
      <c r="S83" s="4" t="str">
        <f t="shared" si="6"/>
        <v>河北省</v>
      </c>
    </row>
    <row r="84" spans="9:19">
      <c r="I84" s="2">
        <v>83</v>
      </c>
      <c r="J84" s="2" t="s">
        <v>473</v>
      </c>
      <c r="K84" s="2">
        <v>10</v>
      </c>
      <c r="L84" s="2" t="str">
        <f t="shared" si="4"/>
        <v>江苏省</v>
      </c>
      <c r="M84" s="2" t="s">
        <v>474</v>
      </c>
      <c r="N84" s="4">
        <v>83</v>
      </c>
      <c r="O84" s="4" t="s">
        <v>475</v>
      </c>
      <c r="P84" s="4">
        <v>6</v>
      </c>
      <c r="Q84" s="4" t="str">
        <f t="shared" si="7"/>
        <v>邯郸市</v>
      </c>
      <c r="R84" s="4">
        <f t="shared" si="5"/>
        <v>3</v>
      </c>
      <c r="S84" s="4" t="str">
        <f t="shared" si="6"/>
        <v>河北省</v>
      </c>
    </row>
    <row r="85" spans="9:19">
      <c r="I85" s="2">
        <v>84</v>
      </c>
      <c r="J85" s="2" t="s">
        <v>476</v>
      </c>
      <c r="K85" s="2">
        <v>10</v>
      </c>
      <c r="L85" s="2" t="str">
        <f t="shared" si="4"/>
        <v>江苏省</v>
      </c>
      <c r="M85" s="2" t="s">
        <v>477</v>
      </c>
      <c r="N85" s="4">
        <v>84</v>
      </c>
      <c r="O85" s="4" t="s">
        <v>478</v>
      </c>
      <c r="P85" s="4">
        <v>6</v>
      </c>
      <c r="Q85" s="4" t="str">
        <f t="shared" si="7"/>
        <v>邯郸市</v>
      </c>
      <c r="R85" s="4">
        <f t="shared" si="5"/>
        <v>3</v>
      </c>
      <c r="S85" s="4" t="str">
        <f t="shared" si="6"/>
        <v>河北省</v>
      </c>
    </row>
    <row r="86" spans="9:19">
      <c r="I86" s="2">
        <v>85</v>
      </c>
      <c r="J86" s="2" t="s">
        <v>479</v>
      </c>
      <c r="K86" s="2">
        <v>10</v>
      </c>
      <c r="L86" s="2" t="str">
        <f t="shared" si="4"/>
        <v>江苏省</v>
      </c>
      <c r="M86" s="2" t="s">
        <v>480</v>
      </c>
      <c r="N86" s="4">
        <v>85</v>
      </c>
      <c r="O86" s="4" t="s">
        <v>481</v>
      </c>
      <c r="P86" s="4">
        <v>6</v>
      </c>
      <c r="Q86" s="4" t="str">
        <f t="shared" si="7"/>
        <v>邯郸市</v>
      </c>
      <c r="R86" s="4">
        <f t="shared" si="5"/>
        <v>3</v>
      </c>
      <c r="S86" s="4" t="str">
        <f t="shared" si="6"/>
        <v>河北省</v>
      </c>
    </row>
    <row r="87" spans="9:19">
      <c r="I87" s="2">
        <v>86</v>
      </c>
      <c r="J87" s="2" t="s">
        <v>482</v>
      </c>
      <c r="K87" s="2">
        <v>10</v>
      </c>
      <c r="L87" s="2" t="str">
        <f t="shared" si="4"/>
        <v>江苏省</v>
      </c>
      <c r="M87" s="2" t="s">
        <v>483</v>
      </c>
      <c r="N87" s="4">
        <v>86</v>
      </c>
      <c r="O87" s="4" t="s">
        <v>484</v>
      </c>
      <c r="P87" s="4">
        <v>6</v>
      </c>
      <c r="Q87" s="4" t="str">
        <f t="shared" si="7"/>
        <v>邯郸市</v>
      </c>
      <c r="R87" s="4">
        <f t="shared" si="5"/>
        <v>3</v>
      </c>
      <c r="S87" s="4" t="str">
        <f t="shared" si="6"/>
        <v>河北省</v>
      </c>
    </row>
    <row r="88" spans="9:19">
      <c r="I88" s="2">
        <v>87</v>
      </c>
      <c r="J88" s="2" t="s">
        <v>485</v>
      </c>
      <c r="K88" s="2">
        <v>11</v>
      </c>
      <c r="L88" s="2" t="str">
        <f t="shared" si="4"/>
        <v>浙江省</v>
      </c>
      <c r="M88" s="2" t="s">
        <v>486</v>
      </c>
      <c r="N88" s="4">
        <v>87</v>
      </c>
      <c r="O88" s="4" t="s">
        <v>487</v>
      </c>
      <c r="P88" s="4">
        <v>6</v>
      </c>
      <c r="Q88" s="4" t="str">
        <f t="shared" si="7"/>
        <v>邯郸市</v>
      </c>
      <c r="R88" s="4">
        <f t="shared" si="5"/>
        <v>3</v>
      </c>
      <c r="S88" s="4" t="str">
        <f t="shared" si="6"/>
        <v>河北省</v>
      </c>
    </row>
    <row r="89" spans="9:19">
      <c r="I89" s="2">
        <v>88</v>
      </c>
      <c r="J89" s="2" t="s">
        <v>488</v>
      </c>
      <c r="K89" s="2">
        <v>11</v>
      </c>
      <c r="L89" s="2" t="str">
        <f t="shared" si="4"/>
        <v>浙江省</v>
      </c>
      <c r="M89" s="2" t="s">
        <v>489</v>
      </c>
      <c r="N89" s="4">
        <v>88</v>
      </c>
      <c r="O89" s="4" t="s">
        <v>490</v>
      </c>
      <c r="P89" s="4">
        <v>6</v>
      </c>
      <c r="Q89" s="4" t="str">
        <f t="shared" si="7"/>
        <v>邯郸市</v>
      </c>
      <c r="R89" s="4">
        <f t="shared" si="5"/>
        <v>3</v>
      </c>
      <c r="S89" s="4" t="str">
        <f t="shared" si="6"/>
        <v>河北省</v>
      </c>
    </row>
    <row r="90" spans="9:19">
      <c r="I90" s="2">
        <v>89</v>
      </c>
      <c r="J90" s="2" t="s">
        <v>491</v>
      </c>
      <c r="K90" s="2">
        <v>11</v>
      </c>
      <c r="L90" s="2" t="str">
        <f t="shared" si="4"/>
        <v>浙江省</v>
      </c>
      <c r="M90" s="2" t="s">
        <v>492</v>
      </c>
      <c r="N90" s="4">
        <v>89</v>
      </c>
      <c r="O90" s="4" t="s">
        <v>493</v>
      </c>
      <c r="P90" s="4">
        <v>6</v>
      </c>
      <c r="Q90" s="4" t="str">
        <f t="shared" si="7"/>
        <v>邯郸市</v>
      </c>
      <c r="R90" s="4">
        <f t="shared" si="5"/>
        <v>3</v>
      </c>
      <c r="S90" s="4" t="str">
        <f t="shared" si="6"/>
        <v>河北省</v>
      </c>
    </row>
    <row r="91" spans="9:19">
      <c r="I91" s="2">
        <v>90</v>
      </c>
      <c r="J91" s="2" t="s">
        <v>494</v>
      </c>
      <c r="K91" s="2">
        <v>11</v>
      </c>
      <c r="L91" s="2" t="str">
        <f t="shared" si="4"/>
        <v>浙江省</v>
      </c>
      <c r="M91" s="2" t="s">
        <v>495</v>
      </c>
      <c r="N91" s="4">
        <v>90</v>
      </c>
      <c r="O91" s="4" t="s">
        <v>496</v>
      </c>
      <c r="P91" s="4">
        <v>6</v>
      </c>
      <c r="Q91" s="4" t="str">
        <f t="shared" si="7"/>
        <v>邯郸市</v>
      </c>
      <c r="R91" s="4">
        <f t="shared" si="5"/>
        <v>3</v>
      </c>
      <c r="S91" s="4" t="str">
        <f t="shared" si="6"/>
        <v>河北省</v>
      </c>
    </row>
    <row r="92" spans="9:19">
      <c r="I92" s="2">
        <v>91</v>
      </c>
      <c r="J92" s="2" t="s">
        <v>497</v>
      </c>
      <c r="K92" s="2">
        <v>11</v>
      </c>
      <c r="L92" s="2" t="str">
        <f t="shared" si="4"/>
        <v>浙江省</v>
      </c>
      <c r="M92" s="2" t="s">
        <v>498</v>
      </c>
      <c r="N92" s="4">
        <v>91</v>
      </c>
      <c r="O92" s="4" t="s">
        <v>499</v>
      </c>
      <c r="P92" s="4">
        <v>6</v>
      </c>
      <c r="Q92" s="4" t="str">
        <f t="shared" si="7"/>
        <v>邯郸市</v>
      </c>
      <c r="R92" s="4">
        <f t="shared" si="5"/>
        <v>3</v>
      </c>
      <c r="S92" s="4" t="str">
        <f t="shared" si="6"/>
        <v>河北省</v>
      </c>
    </row>
    <row r="93" spans="9:19">
      <c r="I93" s="2">
        <v>92</v>
      </c>
      <c r="J93" s="2" t="s">
        <v>500</v>
      </c>
      <c r="K93" s="2">
        <v>11</v>
      </c>
      <c r="L93" s="2" t="str">
        <f t="shared" si="4"/>
        <v>浙江省</v>
      </c>
      <c r="M93" s="2" t="s">
        <v>501</v>
      </c>
      <c r="N93" s="4">
        <v>92</v>
      </c>
      <c r="O93" s="4" t="s">
        <v>502</v>
      </c>
      <c r="P93" s="4">
        <v>6</v>
      </c>
      <c r="Q93" s="4" t="str">
        <f t="shared" si="7"/>
        <v>邯郸市</v>
      </c>
      <c r="R93" s="4">
        <f t="shared" si="5"/>
        <v>3</v>
      </c>
      <c r="S93" s="4" t="str">
        <f t="shared" si="6"/>
        <v>河北省</v>
      </c>
    </row>
    <row r="94" spans="9:19">
      <c r="I94" s="2">
        <v>93</v>
      </c>
      <c r="J94" s="2" t="s">
        <v>503</v>
      </c>
      <c r="K94" s="2">
        <v>11</v>
      </c>
      <c r="L94" s="2" t="str">
        <f t="shared" si="4"/>
        <v>浙江省</v>
      </c>
      <c r="M94" s="2" t="s">
        <v>504</v>
      </c>
      <c r="N94" s="4">
        <v>93</v>
      </c>
      <c r="O94" s="4" t="s">
        <v>505</v>
      </c>
      <c r="P94" s="4">
        <v>6</v>
      </c>
      <c r="Q94" s="4" t="str">
        <f t="shared" si="7"/>
        <v>邯郸市</v>
      </c>
      <c r="R94" s="4">
        <f t="shared" si="5"/>
        <v>3</v>
      </c>
      <c r="S94" s="4" t="str">
        <f t="shared" si="6"/>
        <v>河北省</v>
      </c>
    </row>
    <row r="95" spans="9:19">
      <c r="I95" s="2">
        <v>94</v>
      </c>
      <c r="J95" s="2" t="s">
        <v>506</v>
      </c>
      <c r="K95" s="2">
        <v>11</v>
      </c>
      <c r="L95" s="2" t="str">
        <f t="shared" si="4"/>
        <v>浙江省</v>
      </c>
      <c r="M95" s="2" t="s">
        <v>507</v>
      </c>
      <c r="N95" s="4">
        <v>94</v>
      </c>
      <c r="O95" s="4" t="s">
        <v>508</v>
      </c>
      <c r="P95" s="4">
        <v>6</v>
      </c>
      <c r="Q95" s="4" t="str">
        <f t="shared" si="7"/>
        <v>邯郸市</v>
      </c>
      <c r="R95" s="4">
        <f t="shared" si="5"/>
        <v>3</v>
      </c>
      <c r="S95" s="4" t="str">
        <f t="shared" si="6"/>
        <v>河北省</v>
      </c>
    </row>
    <row r="96" spans="9:19">
      <c r="I96" s="2">
        <v>95</v>
      </c>
      <c r="J96" s="2" t="s">
        <v>509</v>
      </c>
      <c r="K96" s="2">
        <v>11</v>
      </c>
      <c r="L96" s="2" t="str">
        <f t="shared" si="4"/>
        <v>浙江省</v>
      </c>
      <c r="M96" s="2" t="s">
        <v>510</v>
      </c>
      <c r="N96" s="4">
        <v>95</v>
      </c>
      <c r="O96" s="4" t="s">
        <v>511</v>
      </c>
      <c r="P96" s="4">
        <v>6</v>
      </c>
      <c r="Q96" s="4" t="str">
        <f t="shared" si="7"/>
        <v>邯郸市</v>
      </c>
      <c r="R96" s="4">
        <f t="shared" si="5"/>
        <v>3</v>
      </c>
      <c r="S96" s="4" t="str">
        <f t="shared" si="6"/>
        <v>河北省</v>
      </c>
    </row>
    <row r="97" spans="9:19">
      <c r="I97" s="2">
        <v>96</v>
      </c>
      <c r="J97" s="2" t="s">
        <v>512</v>
      </c>
      <c r="K97" s="2">
        <v>11</v>
      </c>
      <c r="L97" s="2" t="str">
        <f t="shared" si="4"/>
        <v>浙江省</v>
      </c>
      <c r="M97" s="2" t="s">
        <v>513</v>
      </c>
      <c r="N97" s="4">
        <v>96</v>
      </c>
      <c r="O97" s="4" t="s">
        <v>514</v>
      </c>
      <c r="P97" s="4">
        <v>6</v>
      </c>
      <c r="Q97" s="4" t="str">
        <f t="shared" si="7"/>
        <v>邯郸市</v>
      </c>
      <c r="R97" s="4">
        <f t="shared" si="5"/>
        <v>3</v>
      </c>
      <c r="S97" s="4" t="str">
        <f t="shared" si="6"/>
        <v>河北省</v>
      </c>
    </row>
    <row r="98" spans="9:19">
      <c r="I98" s="2">
        <v>97</v>
      </c>
      <c r="J98" s="2" t="s">
        <v>515</v>
      </c>
      <c r="K98" s="2">
        <v>11</v>
      </c>
      <c r="L98" s="2" t="str">
        <f t="shared" si="4"/>
        <v>浙江省</v>
      </c>
      <c r="M98" s="2" t="s">
        <v>516</v>
      </c>
      <c r="N98" s="4">
        <v>97</v>
      </c>
      <c r="O98" s="4" t="s">
        <v>517</v>
      </c>
      <c r="P98" s="4">
        <v>6</v>
      </c>
      <c r="Q98" s="4" t="str">
        <f t="shared" si="7"/>
        <v>邯郸市</v>
      </c>
      <c r="R98" s="4">
        <f t="shared" si="5"/>
        <v>3</v>
      </c>
      <c r="S98" s="4" t="str">
        <f t="shared" si="6"/>
        <v>河北省</v>
      </c>
    </row>
    <row r="99" spans="9:19">
      <c r="I99" s="2">
        <v>98</v>
      </c>
      <c r="J99" s="2" t="s">
        <v>518</v>
      </c>
      <c r="K99" s="2">
        <v>12</v>
      </c>
      <c r="L99" s="2" t="str">
        <f t="shared" si="4"/>
        <v>安徽省</v>
      </c>
      <c r="M99" s="2" t="s">
        <v>519</v>
      </c>
      <c r="N99" s="4">
        <v>98</v>
      </c>
      <c r="O99" s="4" t="s">
        <v>520</v>
      </c>
      <c r="P99" s="4">
        <v>6</v>
      </c>
      <c r="Q99" s="4" t="str">
        <f t="shared" si="7"/>
        <v>邯郸市</v>
      </c>
      <c r="R99" s="4">
        <f t="shared" si="5"/>
        <v>3</v>
      </c>
      <c r="S99" s="4" t="str">
        <f t="shared" si="6"/>
        <v>河北省</v>
      </c>
    </row>
    <row r="100" spans="9:19">
      <c r="I100" s="2">
        <v>99</v>
      </c>
      <c r="J100" s="2" t="s">
        <v>521</v>
      </c>
      <c r="K100" s="2">
        <v>12</v>
      </c>
      <c r="L100" s="2" t="str">
        <f t="shared" si="4"/>
        <v>安徽省</v>
      </c>
      <c r="M100" s="2" t="s">
        <v>522</v>
      </c>
      <c r="N100" s="4">
        <v>99</v>
      </c>
      <c r="O100" s="4" t="s">
        <v>523</v>
      </c>
      <c r="P100" s="4">
        <v>6</v>
      </c>
      <c r="Q100" s="4" t="str">
        <f t="shared" si="7"/>
        <v>邯郸市</v>
      </c>
      <c r="R100" s="4">
        <f t="shared" si="5"/>
        <v>3</v>
      </c>
      <c r="S100" s="4" t="str">
        <f t="shared" si="6"/>
        <v>河北省</v>
      </c>
    </row>
    <row r="101" spans="9:19">
      <c r="I101" s="2">
        <v>100</v>
      </c>
      <c r="J101" s="2" t="s">
        <v>524</v>
      </c>
      <c r="K101" s="2">
        <v>12</v>
      </c>
      <c r="L101" s="2" t="str">
        <f t="shared" si="4"/>
        <v>安徽省</v>
      </c>
      <c r="M101" s="2" t="s">
        <v>525</v>
      </c>
      <c r="N101" s="4">
        <v>100</v>
      </c>
      <c r="O101" s="4" t="s">
        <v>323</v>
      </c>
      <c r="P101" s="4">
        <v>7</v>
      </c>
      <c r="Q101" s="4" t="str">
        <f t="shared" si="7"/>
        <v>邢台市</v>
      </c>
      <c r="R101" s="4">
        <f t="shared" si="5"/>
        <v>3</v>
      </c>
      <c r="S101" s="4" t="str">
        <f t="shared" si="6"/>
        <v>河北省</v>
      </c>
    </row>
    <row r="102" spans="9:19">
      <c r="I102" s="2">
        <v>101</v>
      </c>
      <c r="J102" s="2" t="s">
        <v>526</v>
      </c>
      <c r="K102" s="2">
        <v>12</v>
      </c>
      <c r="L102" s="2" t="str">
        <f t="shared" si="4"/>
        <v>安徽省</v>
      </c>
      <c r="M102" s="2" t="s">
        <v>527</v>
      </c>
      <c r="N102" s="4">
        <v>101</v>
      </c>
      <c r="O102" s="4" t="s">
        <v>327</v>
      </c>
      <c r="P102" s="4">
        <v>7</v>
      </c>
      <c r="Q102" s="4" t="str">
        <f t="shared" si="7"/>
        <v>邢台市</v>
      </c>
      <c r="R102" s="4">
        <f t="shared" si="5"/>
        <v>3</v>
      </c>
      <c r="S102" s="4" t="str">
        <f t="shared" si="6"/>
        <v>河北省</v>
      </c>
    </row>
    <row r="103" spans="9:19">
      <c r="I103" s="2">
        <v>102</v>
      </c>
      <c r="J103" s="2" t="s">
        <v>528</v>
      </c>
      <c r="K103" s="2">
        <v>12</v>
      </c>
      <c r="L103" s="2" t="str">
        <f t="shared" si="4"/>
        <v>安徽省</v>
      </c>
      <c r="M103" s="2" t="s">
        <v>529</v>
      </c>
      <c r="N103" s="4">
        <v>102</v>
      </c>
      <c r="O103" s="4" t="s">
        <v>530</v>
      </c>
      <c r="P103" s="4">
        <v>7</v>
      </c>
      <c r="Q103" s="4" t="str">
        <f t="shared" si="7"/>
        <v>邢台市</v>
      </c>
      <c r="R103" s="4">
        <f t="shared" si="5"/>
        <v>3</v>
      </c>
      <c r="S103" s="4" t="str">
        <f t="shared" si="6"/>
        <v>河北省</v>
      </c>
    </row>
    <row r="104" spans="9:19">
      <c r="I104" s="2">
        <v>103</v>
      </c>
      <c r="J104" s="2" t="s">
        <v>531</v>
      </c>
      <c r="K104" s="2">
        <v>12</v>
      </c>
      <c r="L104" s="2" t="str">
        <f t="shared" si="4"/>
        <v>安徽省</v>
      </c>
      <c r="M104" s="2" t="s">
        <v>532</v>
      </c>
      <c r="N104" s="4">
        <v>103</v>
      </c>
      <c r="O104" s="4" t="s">
        <v>533</v>
      </c>
      <c r="P104" s="4">
        <v>7</v>
      </c>
      <c r="Q104" s="4" t="str">
        <f t="shared" si="7"/>
        <v>邢台市</v>
      </c>
      <c r="R104" s="4">
        <f t="shared" si="5"/>
        <v>3</v>
      </c>
      <c r="S104" s="4" t="str">
        <f t="shared" si="6"/>
        <v>河北省</v>
      </c>
    </row>
    <row r="105" spans="9:19">
      <c r="I105" s="2">
        <v>104</v>
      </c>
      <c r="J105" s="2" t="s">
        <v>534</v>
      </c>
      <c r="K105" s="2">
        <v>12</v>
      </c>
      <c r="L105" s="2" t="str">
        <f t="shared" si="4"/>
        <v>安徽省</v>
      </c>
      <c r="M105" s="2" t="s">
        <v>535</v>
      </c>
      <c r="N105" s="4">
        <v>104</v>
      </c>
      <c r="O105" s="4" t="s">
        <v>536</v>
      </c>
      <c r="P105" s="4">
        <v>7</v>
      </c>
      <c r="Q105" s="4" t="str">
        <f t="shared" si="7"/>
        <v>邢台市</v>
      </c>
      <c r="R105" s="4">
        <f t="shared" si="5"/>
        <v>3</v>
      </c>
      <c r="S105" s="4" t="str">
        <f t="shared" si="6"/>
        <v>河北省</v>
      </c>
    </row>
    <row r="106" spans="9:19">
      <c r="I106" s="2">
        <v>105</v>
      </c>
      <c r="J106" s="2" t="s">
        <v>537</v>
      </c>
      <c r="K106" s="2">
        <v>12</v>
      </c>
      <c r="L106" s="2" t="str">
        <f t="shared" si="4"/>
        <v>安徽省</v>
      </c>
      <c r="M106" s="2" t="s">
        <v>538</v>
      </c>
      <c r="N106" s="4">
        <v>105</v>
      </c>
      <c r="O106" s="4" t="s">
        <v>539</v>
      </c>
      <c r="P106" s="4">
        <v>7</v>
      </c>
      <c r="Q106" s="4" t="str">
        <f t="shared" si="7"/>
        <v>邢台市</v>
      </c>
      <c r="R106" s="4">
        <f t="shared" si="5"/>
        <v>3</v>
      </c>
      <c r="S106" s="4" t="str">
        <f t="shared" si="6"/>
        <v>河北省</v>
      </c>
    </row>
    <row r="107" spans="9:19">
      <c r="I107" s="2">
        <v>106</v>
      </c>
      <c r="J107" s="2" t="s">
        <v>540</v>
      </c>
      <c r="K107" s="2">
        <v>12</v>
      </c>
      <c r="L107" s="2" t="str">
        <f t="shared" si="4"/>
        <v>安徽省</v>
      </c>
      <c r="M107" s="2" t="s">
        <v>541</v>
      </c>
      <c r="N107" s="4">
        <v>106</v>
      </c>
      <c r="O107" s="4" t="s">
        <v>542</v>
      </c>
      <c r="P107" s="4">
        <v>7</v>
      </c>
      <c r="Q107" s="4" t="str">
        <f t="shared" si="7"/>
        <v>邢台市</v>
      </c>
      <c r="R107" s="4">
        <f t="shared" si="5"/>
        <v>3</v>
      </c>
      <c r="S107" s="4" t="str">
        <f t="shared" si="6"/>
        <v>河北省</v>
      </c>
    </row>
    <row r="108" spans="9:19">
      <c r="I108" s="2">
        <v>107</v>
      </c>
      <c r="J108" s="2" t="s">
        <v>543</v>
      </c>
      <c r="K108" s="2">
        <v>12</v>
      </c>
      <c r="L108" s="2" t="str">
        <f t="shared" si="4"/>
        <v>安徽省</v>
      </c>
      <c r="M108" s="2" t="s">
        <v>544</v>
      </c>
      <c r="N108" s="4">
        <v>107</v>
      </c>
      <c r="O108" s="4" t="s">
        <v>545</v>
      </c>
      <c r="P108" s="4">
        <v>7</v>
      </c>
      <c r="Q108" s="4" t="str">
        <f t="shared" si="7"/>
        <v>邢台市</v>
      </c>
      <c r="R108" s="4">
        <f t="shared" si="5"/>
        <v>3</v>
      </c>
      <c r="S108" s="4" t="str">
        <f t="shared" si="6"/>
        <v>河北省</v>
      </c>
    </row>
    <row r="109" spans="9:19">
      <c r="I109" s="2">
        <v>108</v>
      </c>
      <c r="J109" s="2" t="s">
        <v>546</v>
      </c>
      <c r="K109" s="2">
        <v>12</v>
      </c>
      <c r="L109" s="2" t="str">
        <f t="shared" si="4"/>
        <v>安徽省</v>
      </c>
      <c r="M109" s="2" t="s">
        <v>547</v>
      </c>
      <c r="N109" s="4">
        <v>108</v>
      </c>
      <c r="O109" s="4" t="s">
        <v>548</v>
      </c>
      <c r="P109" s="4">
        <v>7</v>
      </c>
      <c r="Q109" s="4" t="str">
        <f t="shared" si="7"/>
        <v>邢台市</v>
      </c>
      <c r="R109" s="4">
        <f t="shared" si="5"/>
        <v>3</v>
      </c>
      <c r="S109" s="4" t="str">
        <f t="shared" si="6"/>
        <v>河北省</v>
      </c>
    </row>
    <row r="110" spans="9:19">
      <c r="I110" s="2">
        <v>109</v>
      </c>
      <c r="J110" s="2" t="s">
        <v>549</v>
      </c>
      <c r="K110" s="2">
        <v>12</v>
      </c>
      <c r="L110" s="2" t="str">
        <f t="shared" si="4"/>
        <v>安徽省</v>
      </c>
      <c r="M110" s="2" t="s">
        <v>550</v>
      </c>
      <c r="N110" s="4">
        <v>109</v>
      </c>
      <c r="O110" s="4" t="s">
        <v>551</v>
      </c>
      <c r="P110" s="4">
        <v>7</v>
      </c>
      <c r="Q110" s="4" t="str">
        <f t="shared" si="7"/>
        <v>邢台市</v>
      </c>
      <c r="R110" s="4">
        <f t="shared" si="5"/>
        <v>3</v>
      </c>
      <c r="S110" s="4" t="str">
        <f t="shared" si="6"/>
        <v>河北省</v>
      </c>
    </row>
    <row r="111" spans="9:19">
      <c r="I111" s="2">
        <v>110</v>
      </c>
      <c r="J111" s="2" t="s">
        <v>552</v>
      </c>
      <c r="K111" s="2">
        <v>12</v>
      </c>
      <c r="L111" s="2" t="str">
        <f t="shared" si="4"/>
        <v>安徽省</v>
      </c>
      <c r="M111" s="2" t="s">
        <v>553</v>
      </c>
      <c r="N111" s="4">
        <v>110</v>
      </c>
      <c r="O111" s="4" t="s">
        <v>554</v>
      </c>
      <c r="P111" s="4">
        <v>7</v>
      </c>
      <c r="Q111" s="4" t="str">
        <f t="shared" si="7"/>
        <v>邢台市</v>
      </c>
      <c r="R111" s="4">
        <f t="shared" si="5"/>
        <v>3</v>
      </c>
      <c r="S111" s="4" t="str">
        <f t="shared" si="6"/>
        <v>河北省</v>
      </c>
    </row>
    <row r="112" spans="9:19">
      <c r="I112" s="2">
        <v>111</v>
      </c>
      <c r="J112" s="2" t="s">
        <v>555</v>
      </c>
      <c r="K112" s="2">
        <v>12</v>
      </c>
      <c r="L112" s="2" t="str">
        <f t="shared" si="4"/>
        <v>安徽省</v>
      </c>
      <c r="M112" s="2" t="s">
        <v>556</v>
      </c>
      <c r="N112" s="4">
        <v>111</v>
      </c>
      <c r="O112" s="4" t="s">
        <v>557</v>
      </c>
      <c r="P112" s="4">
        <v>7</v>
      </c>
      <c r="Q112" s="4" t="str">
        <f t="shared" si="7"/>
        <v>邢台市</v>
      </c>
      <c r="R112" s="4">
        <f t="shared" si="5"/>
        <v>3</v>
      </c>
      <c r="S112" s="4" t="str">
        <f t="shared" si="6"/>
        <v>河北省</v>
      </c>
    </row>
    <row r="113" spans="9:19">
      <c r="I113" s="2">
        <v>112</v>
      </c>
      <c r="J113" s="2" t="s">
        <v>558</v>
      </c>
      <c r="K113" s="2">
        <v>12</v>
      </c>
      <c r="L113" s="2" t="str">
        <f t="shared" si="4"/>
        <v>安徽省</v>
      </c>
      <c r="M113" s="2" t="s">
        <v>559</v>
      </c>
      <c r="N113" s="4">
        <v>112</v>
      </c>
      <c r="O113" s="4" t="s">
        <v>560</v>
      </c>
      <c r="P113" s="4">
        <v>7</v>
      </c>
      <c r="Q113" s="4" t="str">
        <f t="shared" si="7"/>
        <v>邢台市</v>
      </c>
      <c r="R113" s="4">
        <f t="shared" si="5"/>
        <v>3</v>
      </c>
      <c r="S113" s="4" t="str">
        <f t="shared" si="6"/>
        <v>河北省</v>
      </c>
    </row>
    <row r="114" spans="9:19">
      <c r="I114" s="2">
        <v>113</v>
      </c>
      <c r="J114" s="2" t="s">
        <v>561</v>
      </c>
      <c r="K114" s="2">
        <v>12</v>
      </c>
      <c r="L114" s="2" t="str">
        <f t="shared" si="4"/>
        <v>安徽省</v>
      </c>
      <c r="M114" s="2" t="s">
        <v>562</v>
      </c>
      <c r="N114" s="4">
        <v>113</v>
      </c>
      <c r="O114" s="4" t="s">
        <v>563</v>
      </c>
      <c r="P114" s="4">
        <v>7</v>
      </c>
      <c r="Q114" s="4" t="str">
        <f t="shared" si="7"/>
        <v>邢台市</v>
      </c>
      <c r="R114" s="4">
        <f t="shared" si="5"/>
        <v>3</v>
      </c>
      <c r="S114" s="4" t="str">
        <f t="shared" si="6"/>
        <v>河北省</v>
      </c>
    </row>
    <row r="115" spans="9:19">
      <c r="I115" s="2">
        <v>114</v>
      </c>
      <c r="J115" s="2" t="s">
        <v>564</v>
      </c>
      <c r="K115" s="2">
        <v>12</v>
      </c>
      <c r="L115" s="2" t="str">
        <f t="shared" si="4"/>
        <v>安徽省</v>
      </c>
      <c r="M115" s="2" t="s">
        <v>565</v>
      </c>
      <c r="N115" s="4">
        <v>114</v>
      </c>
      <c r="O115" s="4" t="s">
        <v>566</v>
      </c>
      <c r="P115" s="4">
        <v>7</v>
      </c>
      <c r="Q115" s="4" t="str">
        <f t="shared" si="7"/>
        <v>邢台市</v>
      </c>
      <c r="R115" s="4">
        <f t="shared" si="5"/>
        <v>3</v>
      </c>
      <c r="S115" s="4" t="str">
        <f t="shared" si="6"/>
        <v>河北省</v>
      </c>
    </row>
    <row r="116" spans="9:19">
      <c r="I116" s="2">
        <v>115</v>
      </c>
      <c r="J116" s="2" t="s">
        <v>567</v>
      </c>
      <c r="K116" s="2">
        <v>13</v>
      </c>
      <c r="L116" s="2" t="str">
        <f t="shared" si="4"/>
        <v>福建省</v>
      </c>
      <c r="M116" s="2" t="s">
        <v>568</v>
      </c>
      <c r="N116" s="4">
        <v>115</v>
      </c>
      <c r="O116" s="4" t="s">
        <v>569</v>
      </c>
      <c r="P116" s="4">
        <v>7</v>
      </c>
      <c r="Q116" s="4" t="str">
        <f t="shared" si="7"/>
        <v>邢台市</v>
      </c>
      <c r="R116" s="4">
        <f t="shared" si="5"/>
        <v>3</v>
      </c>
      <c r="S116" s="4" t="str">
        <f t="shared" si="6"/>
        <v>河北省</v>
      </c>
    </row>
    <row r="117" spans="9:19">
      <c r="I117" s="2">
        <v>116</v>
      </c>
      <c r="J117" s="2" t="s">
        <v>570</v>
      </c>
      <c r="K117" s="2">
        <v>13</v>
      </c>
      <c r="L117" s="2" t="str">
        <f t="shared" si="4"/>
        <v>福建省</v>
      </c>
      <c r="M117" s="2" t="s">
        <v>571</v>
      </c>
      <c r="N117" s="4">
        <v>116</v>
      </c>
      <c r="O117" s="4" t="s">
        <v>572</v>
      </c>
      <c r="P117" s="4">
        <v>7</v>
      </c>
      <c r="Q117" s="4" t="str">
        <f t="shared" si="7"/>
        <v>邢台市</v>
      </c>
      <c r="R117" s="4">
        <f t="shared" si="5"/>
        <v>3</v>
      </c>
      <c r="S117" s="4" t="str">
        <f t="shared" si="6"/>
        <v>河北省</v>
      </c>
    </row>
    <row r="118" spans="9:19">
      <c r="I118" s="2">
        <v>117</v>
      </c>
      <c r="J118" s="2" t="s">
        <v>573</v>
      </c>
      <c r="K118" s="2">
        <v>13</v>
      </c>
      <c r="L118" s="2" t="str">
        <f t="shared" si="4"/>
        <v>福建省</v>
      </c>
      <c r="M118" s="2" t="s">
        <v>574</v>
      </c>
      <c r="N118" s="4">
        <v>117</v>
      </c>
      <c r="O118" s="4" t="s">
        <v>575</v>
      </c>
      <c r="P118" s="4">
        <v>7</v>
      </c>
      <c r="Q118" s="4" t="str">
        <f t="shared" si="7"/>
        <v>邢台市</v>
      </c>
      <c r="R118" s="4">
        <f t="shared" si="5"/>
        <v>3</v>
      </c>
      <c r="S118" s="4" t="str">
        <f t="shared" si="6"/>
        <v>河北省</v>
      </c>
    </row>
    <row r="119" spans="9:19">
      <c r="I119" s="2">
        <v>118</v>
      </c>
      <c r="J119" s="2" t="s">
        <v>576</v>
      </c>
      <c r="K119" s="2">
        <v>13</v>
      </c>
      <c r="L119" s="2" t="str">
        <f t="shared" si="4"/>
        <v>福建省</v>
      </c>
      <c r="M119" s="2" t="s">
        <v>577</v>
      </c>
      <c r="N119" s="4">
        <v>118</v>
      </c>
      <c r="O119" s="4" t="s">
        <v>578</v>
      </c>
      <c r="P119" s="4">
        <v>7</v>
      </c>
      <c r="Q119" s="4" t="str">
        <f t="shared" si="7"/>
        <v>邢台市</v>
      </c>
      <c r="R119" s="4">
        <f t="shared" si="5"/>
        <v>3</v>
      </c>
      <c r="S119" s="4" t="str">
        <f t="shared" si="6"/>
        <v>河北省</v>
      </c>
    </row>
    <row r="120" spans="9:19">
      <c r="I120" s="2">
        <v>119</v>
      </c>
      <c r="J120" s="2" t="s">
        <v>579</v>
      </c>
      <c r="K120" s="2">
        <v>13</v>
      </c>
      <c r="L120" s="2" t="str">
        <f t="shared" si="4"/>
        <v>福建省</v>
      </c>
      <c r="M120" s="2" t="s">
        <v>580</v>
      </c>
      <c r="N120" s="4">
        <v>119</v>
      </c>
      <c r="O120" s="4" t="s">
        <v>581</v>
      </c>
      <c r="P120" s="4">
        <v>8</v>
      </c>
      <c r="Q120" s="4" t="str">
        <f t="shared" si="7"/>
        <v>保定市</v>
      </c>
      <c r="R120" s="4">
        <f t="shared" si="5"/>
        <v>3</v>
      </c>
      <c r="S120" s="4" t="str">
        <f t="shared" si="6"/>
        <v>河北省</v>
      </c>
    </row>
    <row r="121" spans="9:19">
      <c r="I121" s="2">
        <v>120</v>
      </c>
      <c r="J121" s="2" t="s">
        <v>582</v>
      </c>
      <c r="K121" s="2">
        <v>13</v>
      </c>
      <c r="L121" s="2" t="str">
        <f t="shared" si="4"/>
        <v>福建省</v>
      </c>
      <c r="M121" s="2" t="s">
        <v>583</v>
      </c>
      <c r="N121" s="4">
        <v>120</v>
      </c>
      <c r="O121" s="4" t="s">
        <v>584</v>
      </c>
      <c r="P121" s="4">
        <v>8</v>
      </c>
      <c r="Q121" s="4" t="str">
        <f t="shared" si="7"/>
        <v>保定市</v>
      </c>
      <c r="R121" s="4">
        <f t="shared" si="5"/>
        <v>3</v>
      </c>
      <c r="S121" s="4" t="str">
        <f t="shared" si="6"/>
        <v>河北省</v>
      </c>
    </row>
    <row r="122" spans="9:19">
      <c r="I122" s="2">
        <v>121</v>
      </c>
      <c r="J122" s="2" t="s">
        <v>585</v>
      </c>
      <c r="K122" s="2">
        <v>13</v>
      </c>
      <c r="L122" s="2" t="str">
        <f t="shared" si="4"/>
        <v>福建省</v>
      </c>
      <c r="M122" s="2" t="s">
        <v>586</v>
      </c>
      <c r="N122" s="4">
        <v>121</v>
      </c>
      <c r="O122" s="4" t="s">
        <v>587</v>
      </c>
      <c r="P122" s="4">
        <v>8</v>
      </c>
      <c r="Q122" s="4" t="str">
        <f t="shared" si="7"/>
        <v>保定市</v>
      </c>
      <c r="R122" s="4">
        <f t="shared" si="5"/>
        <v>3</v>
      </c>
      <c r="S122" s="4" t="str">
        <f t="shared" si="6"/>
        <v>河北省</v>
      </c>
    </row>
    <row r="123" spans="9:19">
      <c r="I123" s="2">
        <v>122</v>
      </c>
      <c r="J123" s="2" t="s">
        <v>588</v>
      </c>
      <c r="K123" s="2">
        <v>13</v>
      </c>
      <c r="L123" s="2" t="str">
        <f t="shared" si="4"/>
        <v>福建省</v>
      </c>
      <c r="M123" s="2" t="s">
        <v>589</v>
      </c>
      <c r="N123" s="4">
        <v>122</v>
      </c>
      <c r="O123" s="4" t="s">
        <v>590</v>
      </c>
      <c r="P123" s="4">
        <v>8</v>
      </c>
      <c r="Q123" s="4" t="str">
        <f t="shared" si="7"/>
        <v>保定市</v>
      </c>
      <c r="R123" s="4">
        <f t="shared" si="5"/>
        <v>3</v>
      </c>
      <c r="S123" s="4" t="str">
        <f t="shared" si="6"/>
        <v>河北省</v>
      </c>
    </row>
    <row r="124" spans="9:19">
      <c r="I124" s="2">
        <v>123</v>
      </c>
      <c r="J124" s="2" t="s">
        <v>591</v>
      </c>
      <c r="K124" s="2">
        <v>13</v>
      </c>
      <c r="L124" s="2" t="str">
        <f t="shared" si="4"/>
        <v>福建省</v>
      </c>
      <c r="M124" s="2" t="s">
        <v>592</v>
      </c>
      <c r="N124" s="4">
        <v>123</v>
      </c>
      <c r="O124" s="4" t="s">
        <v>593</v>
      </c>
      <c r="P124" s="4">
        <v>8</v>
      </c>
      <c r="Q124" s="4" t="str">
        <f t="shared" si="7"/>
        <v>保定市</v>
      </c>
      <c r="R124" s="4">
        <f t="shared" si="5"/>
        <v>3</v>
      </c>
      <c r="S124" s="4" t="str">
        <f t="shared" si="6"/>
        <v>河北省</v>
      </c>
    </row>
    <row r="125" spans="9:19">
      <c r="I125" s="2">
        <v>124</v>
      </c>
      <c r="J125" s="2" t="s">
        <v>594</v>
      </c>
      <c r="K125" s="2">
        <v>14</v>
      </c>
      <c r="L125" s="2" t="str">
        <f t="shared" si="4"/>
        <v>江西省</v>
      </c>
      <c r="M125" s="2" t="s">
        <v>595</v>
      </c>
      <c r="N125" s="4">
        <v>124</v>
      </c>
      <c r="O125" s="4" t="s">
        <v>596</v>
      </c>
      <c r="P125" s="4">
        <v>8</v>
      </c>
      <c r="Q125" s="4" t="str">
        <f t="shared" si="7"/>
        <v>保定市</v>
      </c>
      <c r="R125" s="4">
        <f t="shared" si="5"/>
        <v>3</v>
      </c>
      <c r="S125" s="4" t="str">
        <f t="shared" si="6"/>
        <v>河北省</v>
      </c>
    </row>
    <row r="126" spans="9:19">
      <c r="I126" s="2">
        <v>125</v>
      </c>
      <c r="J126" s="2" t="s">
        <v>597</v>
      </c>
      <c r="K126" s="2">
        <v>14</v>
      </c>
      <c r="L126" s="2" t="str">
        <f t="shared" si="4"/>
        <v>江西省</v>
      </c>
      <c r="M126" s="2" t="s">
        <v>598</v>
      </c>
      <c r="N126" s="4">
        <v>125</v>
      </c>
      <c r="O126" s="4" t="s">
        <v>599</v>
      </c>
      <c r="P126" s="4">
        <v>8</v>
      </c>
      <c r="Q126" s="4" t="str">
        <f t="shared" si="7"/>
        <v>保定市</v>
      </c>
      <c r="R126" s="4">
        <f t="shared" si="5"/>
        <v>3</v>
      </c>
      <c r="S126" s="4" t="str">
        <f t="shared" si="6"/>
        <v>河北省</v>
      </c>
    </row>
    <row r="127" spans="9:19">
      <c r="I127" s="2">
        <v>126</v>
      </c>
      <c r="J127" s="2" t="s">
        <v>600</v>
      </c>
      <c r="K127" s="2">
        <v>14</v>
      </c>
      <c r="L127" s="2" t="str">
        <f t="shared" si="4"/>
        <v>江西省</v>
      </c>
      <c r="M127" s="2" t="s">
        <v>601</v>
      </c>
      <c r="N127" s="4">
        <v>126</v>
      </c>
      <c r="O127" s="4" t="s">
        <v>602</v>
      </c>
      <c r="P127" s="4">
        <v>8</v>
      </c>
      <c r="Q127" s="4" t="str">
        <f t="shared" si="7"/>
        <v>保定市</v>
      </c>
      <c r="R127" s="4">
        <f t="shared" si="5"/>
        <v>3</v>
      </c>
      <c r="S127" s="4" t="str">
        <f t="shared" si="6"/>
        <v>河北省</v>
      </c>
    </row>
    <row r="128" spans="9:19">
      <c r="I128" s="2">
        <v>127</v>
      </c>
      <c r="J128" s="2" t="s">
        <v>603</v>
      </c>
      <c r="K128" s="2">
        <v>14</v>
      </c>
      <c r="L128" s="2" t="str">
        <f t="shared" si="4"/>
        <v>江西省</v>
      </c>
      <c r="M128" s="2" t="s">
        <v>604</v>
      </c>
      <c r="N128" s="4">
        <v>127</v>
      </c>
      <c r="O128" s="4" t="s">
        <v>605</v>
      </c>
      <c r="P128" s="4">
        <v>8</v>
      </c>
      <c r="Q128" s="4" t="str">
        <f t="shared" si="7"/>
        <v>保定市</v>
      </c>
      <c r="R128" s="4">
        <f t="shared" si="5"/>
        <v>3</v>
      </c>
      <c r="S128" s="4" t="str">
        <f t="shared" si="6"/>
        <v>河北省</v>
      </c>
    </row>
    <row r="129" spans="9:19">
      <c r="I129" s="2">
        <v>128</v>
      </c>
      <c r="J129" s="2" t="s">
        <v>606</v>
      </c>
      <c r="K129" s="2">
        <v>14</v>
      </c>
      <c r="L129" s="2" t="str">
        <f t="shared" si="4"/>
        <v>江西省</v>
      </c>
      <c r="M129" s="2" t="s">
        <v>607</v>
      </c>
      <c r="N129" s="4">
        <v>128</v>
      </c>
      <c r="O129" s="4" t="s">
        <v>608</v>
      </c>
      <c r="P129" s="4">
        <v>8</v>
      </c>
      <c r="Q129" s="4" t="str">
        <f t="shared" si="7"/>
        <v>保定市</v>
      </c>
      <c r="R129" s="4">
        <f t="shared" si="5"/>
        <v>3</v>
      </c>
      <c r="S129" s="4" t="str">
        <f t="shared" si="6"/>
        <v>河北省</v>
      </c>
    </row>
    <row r="130" spans="9:19">
      <c r="I130" s="2">
        <v>129</v>
      </c>
      <c r="J130" s="2" t="s">
        <v>609</v>
      </c>
      <c r="K130" s="2">
        <v>14</v>
      </c>
      <c r="L130" s="2" t="str">
        <f t="shared" ref="L130:L193" si="8">VLOOKUP(K130,$G$2:$H$35,2,FALSE)</f>
        <v>江西省</v>
      </c>
      <c r="M130" s="2" t="s">
        <v>610</v>
      </c>
      <c r="N130" s="4">
        <v>129</v>
      </c>
      <c r="O130" s="4" t="s">
        <v>611</v>
      </c>
      <c r="P130" s="4">
        <v>8</v>
      </c>
      <c r="Q130" s="4" t="str">
        <f t="shared" si="7"/>
        <v>保定市</v>
      </c>
      <c r="R130" s="4">
        <f t="shared" ref="R130:R193" si="9">VLOOKUP(P130,$I$2:$M$346,3,FALSE)</f>
        <v>3</v>
      </c>
      <c r="S130" s="4" t="str">
        <f t="shared" ref="S130:S193" si="10">VLOOKUP(P130,$I$2:$M$346,4,FALSE)</f>
        <v>河北省</v>
      </c>
    </row>
    <row r="131" spans="9:19">
      <c r="I131" s="2">
        <v>130</v>
      </c>
      <c r="J131" s="2" t="s">
        <v>612</v>
      </c>
      <c r="K131" s="2">
        <v>14</v>
      </c>
      <c r="L131" s="2" t="str">
        <f t="shared" si="8"/>
        <v>江西省</v>
      </c>
      <c r="M131" s="2" t="s">
        <v>613</v>
      </c>
      <c r="N131" s="4">
        <v>130</v>
      </c>
      <c r="O131" s="4" t="s">
        <v>614</v>
      </c>
      <c r="P131" s="4">
        <v>8</v>
      </c>
      <c r="Q131" s="4" t="str">
        <f t="shared" ref="Q131:Q194" si="11">VLOOKUP(P131,$I$2:$J$346,2,FALSE)</f>
        <v>保定市</v>
      </c>
      <c r="R131" s="4">
        <f t="shared" si="9"/>
        <v>3</v>
      </c>
      <c r="S131" s="4" t="str">
        <f t="shared" si="10"/>
        <v>河北省</v>
      </c>
    </row>
    <row r="132" spans="9:19">
      <c r="I132" s="2">
        <v>131</v>
      </c>
      <c r="J132" s="2" t="s">
        <v>615</v>
      </c>
      <c r="K132" s="2">
        <v>14</v>
      </c>
      <c r="L132" s="2" t="str">
        <f t="shared" si="8"/>
        <v>江西省</v>
      </c>
      <c r="M132" s="2" t="s">
        <v>616</v>
      </c>
      <c r="N132" s="4">
        <v>131</v>
      </c>
      <c r="O132" s="4" t="s">
        <v>617</v>
      </c>
      <c r="P132" s="4">
        <v>8</v>
      </c>
      <c r="Q132" s="4" t="str">
        <f t="shared" si="11"/>
        <v>保定市</v>
      </c>
      <c r="R132" s="4">
        <f t="shared" si="9"/>
        <v>3</v>
      </c>
      <c r="S132" s="4" t="str">
        <f t="shared" si="10"/>
        <v>河北省</v>
      </c>
    </row>
    <row r="133" spans="9:19">
      <c r="I133" s="2">
        <v>132</v>
      </c>
      <c r="J133" s="2" t="s">
        <v>618</v>
      </c>
      <c r="K133" s="2">
        <v>14</v>
      </c>
      <c r="L133" s="2" t="str">
        <f t="shared" si="8"/>
        <v>江西省</v>
      </c>
      <c r="M133" s="2" t="s">
        <v>619</v>
      </c>
      <c r="N133" s="4">
        <v>132</v>
      </c>
      <c r="O133" s="4" t="s">
        <v>620</v>
      </c>
      <c r="P133" s="4">
        <v>8</v>
      </c>
      <c r="Q133" s="4" t="str">
        <f t="shared" si="11"/>
        <v>保定市</v>
      </c>
      <c r="R133" s="4">
        <f t="shared" si="9"/>
        <v>3</v>
      </c>
      <c r="S133" s="4" t="str">
        <f t="shared" si="10"/>
        <v>河北省</v>
      </c>
    </row>
    <row r="134" spans="9:19">
      <c r="I134" s="2">
        <v>133</v>
      </c>
      <c r="J134" s="2" t="s">
        <v>621</v>
      </c>
      <c r="K134" s="2">
        <v>14</v>
      </c>
      <c r="L134" s="2" t="str">
        <f t="shared" si="8"/>
        <v>江西省</v>
      </c>
      <c r="M134" s="2" t="s">
        <v>622</v>
      </c>
      <c r="N134" s="4">
        <v>133</v>
      </c>
      <c r="O134" s="4" t="s">
        <v>623</v>
      </c>
      <c r="P134" s="4">
        <v>8</v>
      </c>
      <c r="Q134" s="4" t="str">
        <f t="shared" si="11"/>
        <v>保定市</v>
      </c>
      <c r="R134" s="4">
        <f t="shared" si="9"/>
        <v>3</v>
      </c>
      <c r="S134" s="4" t="str">
        <f t="shared" si="10"/>
        <v>河北省</v>
      </c>
    </row>
    <row r="135" spans="9:19">
      <c r="I135" s="2">
        <v>134</v>
      </c>
      <c r="J135" s="2" t="s">
        <v>624</v>
      </c>
      <c r="K135" s="2">
        <v>14</v>
      </c>
      <c r="L135" s="2" t="str">
        <f t="shared" si="8"/>
        <v>江西省</v>
      </c>
      <c r="M135" s="2" t="s">
        <v>625</v>
      </c>
      <c r="N135" s="4">
        <v>134</v>
      </c>
      <c r="O135" s="4" t="s">
        <v>626</v>
      </c>
      <c r="P135" s="4">
        <v>8</v>
      </c>
      <c r="Q135" s="4" t="str">
        <f t="shared" si="11"/>
        <v>保定市</v>
      </c>
      <c r="R135" s="4">
        <f t="shared" si="9"/>
        <v>3</v>
      </c>
      <c r="S135" s="4" t="str">
        <f t="shared" si="10"/>
        <v>河北省</v>
      </c>
    </row>
    <row r="136" spans="9:19">
      <c r="I136" s="2">
        <v>135</v>
      </c>
      <c r="J136" s="2" t="s">
        <v>627</v>
      </c>
      <c r="K136" s="2">
        <v>15</v>
      </c>
      <c r="L136" s="2" t="str">
        <f t="shared" si="8"/>
        <v>山东省</v>
      </c>
      <c r="M136" s="2" t="s">
        <v>628</v>
      </c>
      <c r="N136" s="4">
        <v>135</v>
      </c>
      <c r="O136" s="4" t="s">
        <v>629</v>
      </c>
      <c r="P136" s="4">
        <v>8</v>
      </c>
      <c r="Q136" s="4" t="str">
        <f t="shared" si="11"/>
        <v>保定市</v>
      </c>
      <c r="R136" s="4">
        <f t="shared" si="9"/>
        <v>3</v>
      </c>
      <c r="S136" s="4" t="str">
        <f t="shared" si="10"/>
        <v>河北省</v>
      </c>
    </row>
    <row r="137" spans="9:19">
      <c r="I137" s="2">
        <v>136</v>
      </c>
      <c r="J137" s="2" t="s">
        <v>630</v>
      </c>
      <c r="K137" s="2">
        <v>15</v>
      </c>
      <c r="L137" s="2" t="str">
        <f t="shared" si="8"/>
        <v>山东省</v>
      </c>
      <c r="M137" s="2" t="s">
        <v>631</v>
      </c>
      <c r="N137" s="4">
        <v>136</v>
      </c>
      <c r="O137" s="4" t="s">
        <v>632</v>
      </c>
      <c r="P137" s="4">
        <v>8</v>
      </c>
      <c r="Q137" s="4" t="str">
        <f t="shared" si="11"/>
        <v>保定市</v>
      </c>
      <c r="R137" s="4">
        <f t="shared" si="9"/>
        <v>3</v>
      </c>
      <c r="S137" s="4" t="str">
        <f t="shared" si="10"/>
        <v>河北省</v>
      </c>
    </row>
    <row r="138" spans="9:19">
      <c r="I138" s="2">
        <v>137</v>
      </c>
      <c r="J138" s="2" t="s">
        <v>633</v>
      </c>
      <c r="K138" s="2">
        <v>15</v>
      </c>
      <c r="L138" s="2" t="str">
        <f t="shared" si="8"/>
        <v>山东省</v>
      </c>
      <c r="M138" s="2" t="s">
        <v>634</v>
      </c>
      <c r="N138" s="4">
        <v>137</v>
      </c>
      <c r="O138" s="4" t="s">
        <v>635</v>
      </c>
      <c r="P138" s="4">
        <v>8</v>
      </c>
      <c r="Q138" s="4" t="str">
        <f t="shared" si="11"/>
        <v>保定市</v>
      </c>
      <c r="R138" s="4">
        <f t="shared" si="9"/>
        <v>3</v>
      </c>
      <c r="S138" s="4" t="str">
        <f t="shared" si="10"/>
        <v>河北省</v>
      </c>
    </row>
    <row r="139" spans="9:19">
      <c r="I139" s="2">
        <v>138</v>
      </c>
      <c r="J139" s="2" t="s">
        <v>636</v>
      </c>
      <c r="K139" s="2">
        <v>15</v>
      </c>
      <c r="L139" s="2" t="str">
        <f t="shared" si="8"/>
        <v>山东省</v>
      </c>
      <c r="M139" s="2" t="s">
        <v>637</v>
      </c>
      <c r="N139" s="4">
        <v>138</v>
      </c>
      <c r="O139" s="4" t="s">
        <v>638</v>
      </c>
      <c r="P139" s="4">
        <v>8</v>
      </c>
      <c r="Q139" s="4" t="str">
        <f t="shared" si="11"/>
        <v>保定市</v>
      </c>
      <c r="R139" s="4">
        <f t="shared" si="9"/>
        <v>3</v>
      </c>
      <c r="S139" s="4" t="str">
        <f t="shared" si="10"/>
        <v>河北省</v>
      </c>
    </row>
    <row r="140" spans="9:19">
      <c r="I140" s="2">
        <v>139</v>
      </c>
      <c r="J140" s="2" t="s">
        <v>639</v>
      </c>
      <c r="K140" s="2">
        <v>15</v>
      </c>
      <c r="L140" s="2" t="str">
        <f t="shared" si="8"/>
        <v>山东省</v>
      </c>
      <c r="M140" s="2" t="s">
        <v>640</v>
      </c>
      <c r="N140" s="4">
        <v>139</v>
      </c>
      <c r="O140" s="4" t="s">
        <v>641</v>
      </c>
      <c r="P140" s="4">
        <v>8</v>
      </c>
      <c r="Q140" s="4" t="str">
        <f t="shared" si="11"/>
        <v>保定市</v>
      </c>
      <c r="R140" s="4">
        <f t="shared" si="9"/>
        <v>3</v>
      </c>
      <c r="S140" s="4" t="str">
        <f t="shared" si="10"/>
        <v>河北省</v>
      </c>
    </row>
    <row r="141" spans="9:19">
      <c r="I141" s="2">
        <v>140</v>
      </c>
      <c r="J141" s="2" t="s">
        <v>642</v>
      </c>
      <c r="K141" s="2">
        <v>15</v>
      </c>
      <c r="L141" s="2" t="str">
        <f t="shared" si="8"/>
        <v>山东省</v>
      </c>
      <c r="M141" s="2" t="s">
        <v>643</v>
      </c>
      <c r="N141" s="4">
        <v>140</v>
      </c>
      <c r="O141" s="4" t="s">
        <v>644</v>
      </c>
      <c r="P141" s="4">
        <v>8</v>
      </c>
      <c r="Q141" s="4" t="str">
        <f t="shared" si="11"/>
        <v>保定市</v>
      </c>
      <c r="R141" s="4">
        <f t="shared" si="9"/>
        <v>3</v>
      </c>
      <c r="S141" s="4" t="str">
        <f t="shared" si="10"/>
        <v>河北省</v>
      </c>
    </row>
    <row r="142" spans="9:19">
      <c r="I142" s="2">
        <v>141</v>
      </c>
      <c r="J142" s="2" t="s">
        <v>645</v>
      </c>
      <c r="K142" s="2">
        <v>15</v>
      </c>
      <c r="L142" s="2" t="str">
        <f t="shared" si="8"/>
        <v>山东省</v>
      </c>
      <c r="M142" s="2" t="s">
        <v>646</v>
      </c>
      <c r="N142" s="4">
        <v>141</v>
      </c>
      <c r="O142" s="4" t="s">
        <v>647</v>
      </c>
      <c r="P142" s="4">
        <v>8</v>
      </c>
      <c r="Q142" s="4" t="str">
        <f t="shared" si="11"/>
        <v>保定市</v>
      </c>
      <c r="R142" s="4">
        <f t="shared" si="9"/>
        <v>3</v>
      </c>
      <c r="S142" s="4" t="str">
        <f t="shared" si="10"/>
        <v>河北省</v>
      </c>
    </row>
    <row r="143" spans="9:19">
      <c r="I143" s="2">
        <v>142</v>
      </c>
      <c r="J143" s="2" t="s">
        <v>648</v>
      </c>
      <c r="K143" s="2">
        <v>15</v>
      </c>
      <c r="L143" s="2" t="str">
        <f t="shared" si="8"/>
        <v>山东省</v>
      </c>
      <c r="M143" s="2" t="s">
        <v>649</v>
      </c>
      <c r="N143" s="4">
        <v>142</v>
      </c>
      <c r="O143" s="4" t="s">
        <v>650</v>
      </c>
      <c r="P143" s="4">
        <v>8</v>
      </c>
      <c r="Q143" s="4" t="str">
        <f t="shared" si="11"/>
        <v>保定市</v>
      </c>
      <c r="R143" s="4">
        <f t="shared" si="9"/>
        <v>3</v>
      </c>
      <c r="S143" s="4" t="str">
        <f t="shared" si="10"/>
        <v>河北省</v>
      </c>
    </row>
    <row r="144" spans="9:19">
      <c r="I144" s="2">
        <v>143</v>
      </c>
      <c r="J144" s="2" t="s">
        <v>651</v>
      </c>
      <c r="K144" s="2">
        <v>15</v>
      </c>
      <c r="L144" s="2" t="str">
        <f t="shared" si="8"/>
        <v>山东省</v>
      </c>
      <c r="M144" s="2" t="s">
        <v>652</v>
      </c>
      <c r="N144" s="4">
        <v>143</v>
      </c>
      <c r="O144" s="4" t="s">
        <v>653</v>
      </c>
      <c r="P144" s="4">
        <v>8</v>
      </c>
      <c r="Q144" s="4" t="str">
        <f t="shared" si="11"/>
        <v>保定市</v>
      </c>
      <c r="R144" s="4">
        <f t="shared" si="9"/>
        <v>3</v>
      </c>
      <c r="S144" s="4" t="str">
        <f t="shared" si="10"/>
        <v>河北省</v>
      </c>
    </row>
    <row r="145" spans="9:19">
      <c r="I145" s="2">
        <v>144</v>
      </c>
      <c r="J145" s="2" t="s">
        <v>654</v>
      </c>
      <c r="K145" s="2">
        <v>15</v>
      </c>
      <c r="L145" s="2" t="str">
        <f t="shared" si="8"/>
        <v>山东省</v>
      </c>
      <c r="M145" s="2" t="s">
        <v>655</v>
      </c>
      <c r="N145" s="4">
        <v>144</v>
      </c>
      <c r="O145" s="4" t="s">
        <v>323</v>
      </c>
      <c r="P145" s="4">
        <v>9</v>
      </c>
      <c r="Q145" s="4" t="str">
        <f t="shared" si="11"/>
        <v>张家口市</v>
      </c>
      <c r="R145" s="4">
        <f t="shared" si="9"/>
        <v>3</v>
      </c>
      <c r="S145" s="4" t="str">
        <f t="shared" si="10"/>
        <v>河北省</v>
      </c>
    </row>
    <row r="146" spans="9:19">
      <c r="I146" s="2">
        <v>145</v>
      </c>
      <c r="J146" s="2" t="s">
        <v>656</v>
      </c>
      <c r="K146" s="2">
        <v>15</v>
      </c>
      <c r="L146" s="2" t="str">
        <f t="shared" si="8"/>
        <v>山东省</v>
      </c>
      <c r="M146" s="2" t="s">
        <v>657</v>
      </c>
      <c r="N146" s="4">
        <v>145</v>
      </c>
      <c r="O146" s="4" t="s">
        <v>327</v>
      </c>
      <c r="P146" s="4">
        <v>9</v>
      </c>
      <c r="Q146" s="4" t="str">
        <f t="shared" si="11"/>
        <v>张家口市</v>
      </c>
      <c r="R146" s="4">
        <f t="shared" si="9"/>
        <v>3</v>
      </c>
      <c r="S146" s="4" t="str">
        <f t="shared" si="10"/>
        <v>河北省</v>
      </c>
    </row>
    <row r="147" spans="9:19">
      <c r="I147" s="2">
        <v>146</v>
      </c>
      <c r="J147" s="2" t="s">
        <v>658</v>
      </c>
      <c r="K147" s="2">
        <v>15</v>
      </c>
      <c r="L147" s="2" t="str">
        <f t="shared" si="8"/>
        <v>山东省</v>
      </c>
      <c r="M147" s="2" t="s">
        <v>659</v>
      </c>
      <c r="N147" s="4">
        <v>146</v>
      </c>
      <c r="O147" s="4" t="s">
        <v>660</v>
      </c>
      <c r="P147" s="4">
        <v>9</v>
      </c>
      <c r="Q147" s="4" t="str">
        <f t="shared" si="11"/>
        <v>张家口市</v>
      </c>
      <c r="R147" s="4">
        <f t="shared" si="9"/>
        <v>3</v>
      </c>
      <c r="S147" s="4" t="str">
        <f t="shared" si="10"/>
        <v>河北省</v>
      </c>
    </row>
    <row r="148" spans="9:19">
      <c r="I148" s="2">
        <v>147</v>
      </c>
      <c r="J148" s="2" t="s">
        <v>661</v>
      </c>
      <c r="K148" s="2">
        <v>15</v>
      </c>
      <c r="L148" s="2" t="str">
        <f t="shared" si="8"/>
        <v>山东省</v>
      </c>
      <c r="M148" s="2" t="s">
        <v>662</v>
      </c>
      <c r="N148" s="4">
        <v>147</v>
      </c>
      <c r="O148" s="4" t="s">
        <v>663</v>
      </c>
      <c r="P148" s="4">
        <v>9</v>
      </c>
      <c r="Q148" s="4" t="str">
        <f t="shared" si="11"/>
        <v>张家口市</v>
      </c>
      <c r="R148" s="4">
        <f t="shared" si="9"/>
        <v>3</v>
      </c>
      <c r="S148" s="4" t="str">
        <f t="shared" si="10"/>
        <v>河北省</v>
      </c>
    </row>
    <row r="149" spans="9:19">
      <c r="I149" s="2">
        <v>148</v>
      </c>
      <c r="J149" s="2" t="s">
        <v>664</v>
      </c>
      <c r="K149" s="2">
        <v>15</v>
      </c>
      <c r="L149" s="2" t="str">
        <f t="shared" si="8"/>
        <v>山东省</v>
      </c>
      <c r="M149" s="2" t="s">
        <v>665</v>
      </c>
      <c r="N149" s="4">
        <v>148</v>
      </c>
      <c r="O149" s="4" t="s">
        <v>666</v>
      </c>
      <c r="P149" s="4">
        <v>9</v>
      </c>
      <c r="Q149" s="4" t="str">
        <f t="shared" si="11"/>
        <v>张家口市</v>
      </c>
      <c r="R149" s="4">
        <f t="shared" si="9"/>
        <v>3</v>
      </c>
      <c r="S149" s="4" t="str">
        <f t="shared" si="10"/>
        <v>河北省</v>
      </c>
    </row>
    <row r="150" spans="9:19">
      <c r="I150" s="2">
        <v>149</v>
      </c>
      <c r="J150" s="2" t="s">
        <v>667</v>
      </c>
      <c r="K150" s="2">
        <v>15</v>
      </c>
      <c r="L150" s="2" t="str">
        <f t="shared" si="8"/>
        <v>山东省</v>
      </c>
      <c r="M150" s="2" t="s">
        <v>668</v>
      </c>
      <c r="N150" s="4">
        <v>149</v>
      </c>
      <c r="O150" s="4" t="s">
        <v>669</v>
      </c>
      <c r="P150" s="4">
        <v>9</v>
      </c>
      <c r="Q150" s="4" t="str">
        <f t="shared" si="11"/>
        <v>张家口市</v>
      </c>
      <c r="R150" s="4">
        <f t="shared" si="9"/>
        <v>3</v>
      </c>
      <c r="S150" s="4" t="str">
        <f t="shared" si="10"/>
        <v>河北省</v>
      </c>
    </row>
    <row r="151" spans="9:19">
      <c r="I151" s="2">
        <v>150</v>
      </c>
      <c r="J151" s="2" t="s">
        <v>670</v>
      </c>
      <c r="K151" s="2">
        <v>15</v>
      </c>
      <c r="L151" s="2" t="str">
        <f t="shared" si="8"/>
        <v>山东省</v>
      </c>
      <c r="M151" s="2" t="s">
        <v>671</v>
      </c>
      <c r="N151" s="4">
        <v>150</v>
      </c>
      <c r="O151" s="4" t="s">
        <v>672</v>
      </c>
      <c r="P151" s="4">
        <v>9</v>
      </c>
      <c r="Q151" s="4" t="str">
        <f t="shared" si="11"/>
        <v>张家口市</v>
      </c>
      <c r="R151" s="4">
        <f t="shared" si="9"/>
        <v>3</v>
      </c>
      <c r="S151" s="4" t="str">
        <f t="shared" si="10"/>
        <v>河北省</v>
      </c>
    </row>
    <row r="152" spans="9:19">
      <c r="I152" s="2">
        <v>151</v>
      </c>
      <c r="J152" s="2" t="s">
        <v>673</v>
      </c>
      <c r="K152" s="2">
        <v>15</v>
      </c>
      <c r="L152" s="2" t="str">
        <f t="shared" si="8"/>
        <v>山东省</v>
      </c>
      <c r="M152" s="2" t="s">
        <v>634</v>
      </c>
      <c r="N152" s="4">
        <v>151</v>
      </c>
      <c r="O152" s="4" t="s">
        <v>674</v>
      </c>
      <c r="P152" s="4">
        <v>9</v>
      </c>
      <c r="Q152" s="4" t="str">
        <f t="shared" si="11"/>
        <v>张家口市</v>
      </c>
      <c r="R152" s="4">
        <f t="shared" si="9"/>
        <v>3</v>
      </c>
      <c r="S152" s="4" t="str">
        <f t="shared" si="10"/>
        <v>河北省</v>
      </c>
    </row>
    <row r="153" spans="9:19">
      <c r="I153" s="2">
        <v>152</v>
      </c>
      <c r="J153" s="2" t="s">
        <v>675</v>
      </c>
      <c r="K153" s="2">
        <v>16</v>
      </c>
      <c r="L153" s="2" t="str">
        <f t="shared" si="8"/>
        <v>河南省</v>
      </c>
      <c r="M153" s="2" t="s">
        <v>676</v>
      </c>
      <c r="N153" s="4">
        <v>152</v>
      </c>
      <c r="O153" s="4" t="s">
        <v>677</v>
      </c>
      <c r="P153" s="4">
        <v>9</v>
      </c>
      <c r="Q153" s="4" t="str">
        <f t="shared" si="11"/>
        <v>张家口市</v>
      </c>
      <c r="R153" s="4">
        <f t="shared" si="9"/>
        <v>3</v>
      </c>
      <c r="S153" s="4" t="str">
        <f t="shared" si="10"/>
        <v>河北省</v>
      </c>
    </row>
    <row r="154" spans="9:19">
      <c r="I154" s="2">
        <v>153</v>
      </c>
      <c r="J154" s="2" t="s">
        <v>678</v>
      </c>
      <c r="K154" s="2">
        <v>16</v>
      </c>
      <c r="L154" s="2" t="str">
        <f t="shared" si="8"/>
        <v>河南省</v>
      </c>
      <c r="M154" s="2" t="s">
        <v>679</v>
      </c>
      <c r="N154" s="4">
        <v>153</v>
      </c>
      <c r="O154" s="4" t="s">
        <v>680</v>
      </c>
      <c r="P154" s="4">
        <v>9</v>
      </c>
      <c r="Q154" s="4" t="str">
        <f t="shared" si="11"/>
        <v>张家口市</v>
      </c>
      <c r="R154" s="4">
        <f t="shared" si="9"/>
        <v>3</v>
      </c>
      <c r="S154" s="4" t="str">
        <f t="shared" si="10"/>
        <v>河北省</v>
      </c>
    </row>
    <row r="155" spans="9:19">
      <c r="I155" s="2">
        <v>154</v>
      </c>
      <c r="J155" s="2" t="s">
        <v>681</v>
      </c>
      <c r="K155" s="2">
        <v>16</v>
      </c>
      <c r="L155" s="2" t="str">
        <f t="shared" si="8"/>
        <v>河南省</v>
      </c>
      <c r="M155" s="2" t="s">
        <v>682</v>
      </c>
      <c r="N155" s="4">
        <v>154</v>
      </c>
      <c r="O155" s="4" t="s">
        <v>683</v>
      </c>
      <c r="P155" s="4">
        <v>9</v>
      </c>
      <c r="Q155" s="4" t="str">
        <f t="shared" si="11"/>
        <v>张家口市</v>
      </c>
      <c r="R155" s="4">
        <f t="shared" si="9"/>
        <v>3</v>
      </c>
      <c r="S155" s="4" t="str">
        <f t="shared" si="10"/>
        <v>河北省</v>
      </c>
    </row>
    <row r="156" spans="9:19">
      <c r="I156" s="2">
        <v>155</v>
      </c>
      <c r="J156" s="2" t="s">
        <v>684</v>
      </c>
      <c r="K156" s="2">
        <v>16</v>
      </c>
      <c r="L156" s="2" t="str">
        <f t="shared" si="8"/>
        <v>河南省</v>
      </c>
      <c r="M156" s="2" t="s">
        <v>685</v>
      </c>
      <c r="N156" s="4">
        <v>155</v>
      </c>
      <c r="O156" s="4" t="s">
        <v>686</v>
      </c>
      <c r="P156" s="4">
        <v>9</v>
      </c>
      <c r="Q156" s="4" t="str">
        <f t="shared" si="11"/>
        <v>张家口市</v>
      </c>
      <c r="R156" s="4">
        <f t="shared" si="9"/>
        <v>3</v>
      </c>
      <c r="S156" s="4" t="str">
        <f t="shared" si="10"/>
        <v>河北省</v>
      </c>
    </row>
    <row r="157" spans="9:19">
      <c r="I157" s="2">
        <v>156</v>
      </c>
      <c r="J157" s="2" t="s">
        <v>687</v>
      </c>
      <c r="K157" s="2">
        <v>16</v>
      </c>
      <c r="L157" s="2" t="str">
        <f t="shared" si="8"/>
        <v>河南省</v>
      </c>
      <c r="M157" s="2" t="s">
        <v>688</v>
      </c>
      <c r="N157" s="4">
        <v>156</v>
      </c>
      <c r="O157" s="4" t="s">
        <v>689</v>
      </c>
      <c r="P157" s="4">
        <v>9</v>
      </c>
      <c r="Q157" s="4" t="str">
        <f t="shared" si="11"/>
        <v>张家口市</v>
      </c>
      <c r="R157" s="4">
        <f t="shared" si="9"/>
        <v>3</v>
      </c>
      <c r="S157" s="4" t="str">
        <f t="shared" si="10"/>
        <v>河北省</v>
      </c>
    </row>
    <row r="158" spans="9:19">
      <c r="I158" s="2">
        <v>157</v>
      </c>
      <c r="J158" s="2" t="s">
        <v>690</v>
      </c>
      <c r="K158" s="2">
        <v>16</v>
      </c>
      <c r="L158" s="2" t="str">
        <f t="shared" si="8"/>
        <v>河南省</v>
      </c>
      <c r="M158" s="2" t="s">
        <v>691</v>
      </c>
      <c r="N158" s="4">
        <v>157</v>
      </c>
      <c r="O158" s="4" t="s">
        <v>692</v>
      </c>
      <c r="P158" s="4">
        <v>9</v>
      </c>
      <c r="Q158" s="4" t="str">
        <f t="shared" si="11"/>
        <v>张家口市</v>
      </c>
      <c r="R158" s="4">
        <f t="shared" si="9"/>
        <v>3</v>
      </c>
      <c r="S158" s="4" t="str">
        <f t="shared" si="10"/>
        <v>河北省</v>
      </c>
    </row>
    <row r="159" spans="9:19">
      <c r="I159" s="2">
        <v>158</v>
      </c>
      <c r="J159" s="2" t="s">
        <v>693</v>
      </c>
      <c r="K159" s="2">
        <v>16</v>
      </c>
      <c r="L159" s="2" t="str">
        <f t="shared" si="8"/>
        <v>河南省</v>
      </c>
      <c r="M159" s="2" t="s">
        <v>694</v>
      </c>
      <c r="N159" s="4">
        <v>158</v>
      </c>
      <c r="O159" s="4" t="s">
        <v>695</v>
      </c>
      <c r="P159" s="4">
        <v>9</v>
      </c>
      <c r="Q159" s="4" t="str">
        <f t="shared" si="11"/>
        <v>张家口市</v>
      </c>
      <c r="R159" s="4">
        <f t="shared" si="9"/>
        <v>3</v>
      </c>
      <c r="S159" s="4" t="str">
        <f t="shared" si="10"/>
        <v>河北省</v>
      </c>
    </row>
    <row r="160" spans="9:19">
      <c r="I160" s="2">
        <v>159</v>
      </c>
      <c r="J160" s="2" t="s">
        <v>696</v>
      </c>
      <c r="K160" s="2">
        <v>16</v>
      </c>
      <c r="L160" s="2" t="str">
        <f t="shared" si="8"/>
        <v>河南省</v>
      </c>
      <c r="M160" s="2" t="s">
        <v>697</v>
      </c>
      <c r="N160" s="4">
        <v>159</v>
      </c>
      <c r="O160" s="4" t="s">
        <v>698</v>
      </c>
      <c r="P160" s="4">
        <v>9</v>
      </c>
      <c r="Q160" s="4" t="str">
        <f t="shared" si="11"/>
        <v>张家口市</v>
      </c>
      <c r="R160" s="4">
        <f t="shared" si="9"/>
        <v>3</v>
      </c>
      <c r="S160" s="4" t="str">
        <f t="shared" si="10"/>
        <v>河北省</v>
      </c>
    </row>
    <row r="161" spans="9:19">
      <c r="I161" s="2">
        <v>160</v>
      </c>
      <c r="J161" s="2" t="s">
        <v>699</v>
      </c>
      <c r="K161" s="2">
        <v>16</v>
      </c>
      <c r="L161" s="2" t="str">
        <f t="shared" si="8"/>
        <v>河南省</v>
      </c>
      <c r="M161" s="2" t="s">
        <v>700</v>
      </c>
      <c r="N161" s="4">
        <v>160</v>
      </c>
      <c r="O161" s="4" t="s">
        <v>701</v>
      </c>
      <c r="P161" s="4">
        <v>9</v>
      </c>
      <c r="Q161" s="4" t="str">
        <f t="shared" si="11"/>
        <v>张家口市</v>
      </c>
      <c r="R161" s="4">
        <f t="shared" si="9"/>
        <v>3</v>
      </c>
      <c r="S161" s="4" t="str">
        <f t="shared" si="10"/>
        <v>河北省</v>
      </c>
    </row>
    <row r="162" spans="9:19">
      <c r="I162" s="2">
        <v>161</v>
      </c>
      <c r="J162" s="2" t="s">
        <v>702</v>
      </c>
      <c r="K162" s="2">
        <v>16</v>
      </c>
      <c r="L162" s="2" t="str">
        <f t="shared" si="8"/>
        <v>河南省</v>
      </c>
      <c r="M162" s="2" t="s">
        <v>703</v>
      </c>
      <c r="N162" s="4">
        <v>161</v>
      </c>
      <c r="O162" s="4" t="s">
        <v>704</v>
      </c>
      <c r="P162" s="4">
        <v>10</v>
      </c>
      <c r="Q162" s="4" t="str">
        <f t="shared" si="11"/>
        <v>承德市</v>
      </c>
      <c r="R162" s="4">
        <f t="shared" si="9"/>
        <v>3</v>
      </c>
      <c r="S162" s="4" t="str">
        <f t="shared" si="10"/>
        <v>河北省</v>
      </c>
    </row>
    <row r="163" spans="9:19">
      <c r="I163" s="2">
        <v>162</v>
      </c>
      <c r="J163" s="2" t="s">
        <v>705</v>
      </c>
      <c r="K163" s="2">
        <v>16</v>
      </c>
      <c r="L163" s="2" t="str">
        <f t="shared" si="8"/>
        <v>河南省</v>
      </c>
      <c r="M163" s="2" t="s">
        <v>706</v>
      </c>
      <c r="N163" s="4">
        <v>162</v>
      </c>
      <c r="O163" s="4" t="s">
        <v>707</v>
      </c>
      <c r="P163" s="4">
        <v>10</v>
      </c>
      <c r="Q163" s="4" t="str">
        <f t="shared" si="11"/>
        <v>承德市</v>
      </c>
      <c r="R163" s="4">
        <f t="shared" si="9"/>
        <v>3</v>
      </c>
      <c r="S163" s="4" t="str">
        <f t="shared" si="10"/>
        <v>河北省</v>
      </c>
    </row>
    <row r="164" spans="9:19">
      <c r="I164" s="2">
        <v>163</v>
      </c>
      <c r="J164" s="2" t="s">
        <v>708</v>
      </c>
      <c r="K164" s="2">
        <v>16</v>
      </c>
      <c r="L164" s="2" t="str">
        <f t="shared" si="8"/>
        <v>河南省</v>
      </c>
      <c r="M164" s="2" t="s">
        <v>709</v>
      </c>
      <c r="N164" s="4">
        <v>163</v>
      </c>
      <c r="O164" s="4" t="s">
        <v>710</v>
      </c>
      <c r="P164" s="4">
        <v>10</v>
      </c>
      <c r="Q164" s="4" t="str">
        <f t="shared" si="11"/>
        <v>承德市</v>
      </c>
      <c r="R164" s="4">
        <f t="shared" si="9"/>
        <v>3</v>
      </c>
      <c r="S164" s="4" t="str">
        <f t="shared" si="10"/>
        <v>河北省</v>
      </c>
    </row>
    <row r="165" spans="9:19">
      <c r="I165" s="2">
        <v>164</v>
      </c>
      <c r="J165" s="2" t="s">
        <v>711</v>
      </c>
      <c r="K165" s="2">
        <v>16</v>
      </c>
      <c r="L165" s="2" t="str">
        <f t="shared" si="8"/>
        <v>河南省</v>
      </c>
      <c r="M165" s="2" t="s">
        <v>712</v>
      </c>
      <c r="N165" s="4">
        <v>164</v>
      </c>
      <c r="O165" s="4" t="s">
        <v>713</v>
      </c>
      <c r="P165" s="4">
        <v>10</v>
      </c>
      <c r="Q165" s="4" t="str">
        <f t="shared" si="11"/>
        <v>承德市</v>
      </c>
      <c r="R165" s="4">
        <f t="shared" si="9"/>
        <v>3</v>
      </c>
      <c r="S165" s="4" t="str">
        <f t="shared" si="10"/>
        <v>河北省</v>
      </c>
    </row>
    <row r="166" spans="9:19">
      <c r="I166" s="2">
        <v>165</v>
      </c>
      <c r="J166" s="2" t="s">
        <v>714</v>
      </c>
      <c r="K166" s="2">
        <v>16</v>
      </c>
      <c r="L166" s="2" t="str">
        <f t="shared" si="8"/>
        <v>河南省</v>
      </c>
      <c r="M166" s="2" t="s">
        <v>715</v>
      </c>
      <c r="N166" s="4">
        <v>165</v>
      </c>
      <c r="O166" s="4" t="s">
        <v>716</v>
      </c>
      <c r="P166" s="4">
        <v>10</v>
      </c>
      <c r="Q166" s="4" t="str">
        <f t="shared" si="11"/>
        <v>承德市</v>
      </c>
      <c r="R166" s="4">
        <f t="shared" si="9"/>
        <v>3</v>
      </c>
      <c r="S166" s="4" t="str">
        <f t="shared" si="10"/>
        <v>河北省</v>
      </c>
    </row>
    <row r="167" spans="9:19">
      <c r="I167" s="2">
        <v>166</v>
      </c>
      <c r="J167" s="2" t="s">
        <v>717</v>
      </c>
      <c r="K167" s="2">
        <v>16</v>
      </c>
      <c r="L167" s="2" t="str">
        <f t="shared" si="8"/>
        <v>河南省</v>
      </c>
      <c r="M167" s="2" t="s">
        <v>718</v>
      </c>
      <c r="N167" s="4">
        <v>166</v>
      </c>
      <c r="O167" s="4" t="s">
        <v>719</v>
      </c>
      <c r="P167" s="4">
        <v>10</v>
      </c>
      <c r="Q167" s="4" t="str">
        <f t="shared" si="11"/>
        <v>承德市</v>
      </c>
      <c r="R167" s="4">
        <f t="shared" si="9"/>
        <v>3</v>
      </c>
      <c r="S167" s="4" t="str">
        <f t="shared" si="10"/>
        <v>河北省</v>
      </c>
    </row>
    <row r="168" spans="9:19">
      <c r="I168" s="2">
        <v>167</v>
      </c>
      <c r="J168" s="2" t="s">
        <v>720</v>
      </c>
      <c r="K168" s="2">
        <v>16</v>
      </c>
      <c r="L168" s="2" t="str">
        <f t="shared" si="8"/>
        <v>河南省</v>
      </c>
      <c r="M168" s="2" t="s">
        <v>721</v>
      </c>
      <c r="N168" s="4">
        <v>167</v>
      </c>
      <c r="O168" s="4" t="s">
        <v>722</v>
      </c>
      <c r="P168" s="4">
        <v>10</v>
      </c>
      <c r="Q168" s="4" t="str">
        <f t="shared" si="11"/>
        <v>承德市</v>
      </c>
      <c r="R168" s="4">
        <f t="shared" si="9"/>
        <v>3</v>
      </c>
      <c r="S168" s="4" t="str">
        <f t="shared" si="10"/>
        <v>河北省</v>
      </c>
    </row>
    <row r="169" spans="9:19">
      <c r="I169" s="2">
        <v>168</v>
      </c>
      <c r="J169" s="2" t="s">
        <v>723</v>
      </c>
      <c r="K169" s="2">
        <v>16</v>
      </c>
      <c r="L169" s="2" t="str">
        <f t="shared" si="8"/>
        <v>河南省</v>
      </c>
      <c r="M169" s="2" t="s">
        <v>724</v>
      </c>
      <c r="N169" s="4">
        <v>168</v>
      </c>
      <c r="O169" s="4" t="s">
        <v>725</v>
      </c>
      <c r="P169" s="4">
        <v>10</v>
      </c>
      <c r="Q169" s="4" t="str">
        <f t="shared" si="11"/>
        <v>承德市</v>
      </c>
      <c r="R169" s="4">
        <f t="shared" si="9"/>
        <v>3</v>
      </c>
      <c r="S169" s="4" t="str">
        <f t="shared" si="10"/>
        <v>河北省</v>
      </c>
    </row>
    <row r="170" spans="9:19">
      <c r="I170" s="2">
        <v>169</v>
      </c>
      <c r="J170" s="2" t="s">
        <v>726</v>
      </c>
      <c r="K170" s="2">
        <v>17</v>
      </c>
      <c r="L170" s="2" t="str">
        <f t="shared" si="8"/>
        <v>湖北省</v>
      </c>
      <c r="M170" s="2" t="s">
        <v>727</v>
      </c>
      <c r="N170" s="4">
        <v>169</v>
      </c>
      <c r="O170" s="4" t="s">
        <v>728</v>
      </c>
      <c r="P170" s="4">
        <v>10</v>
      </c>
      <c r="Q170" s="4" t="str">
        <f t="shared" si="11"/>
        <v>承德市</v>
      </c>
      <c r="R170" s="4">
        <f t="shared" si="9"/>
        <v>3</v>
      </c>
      <c r="S170" s="4" t="str">
        <f t="shared" si="10"/>
        <v>河北省</v>
      </c>
    </row>
    <row r="171" spans="9:19">
      <c r="I171" s="2">
        <v>170</v>
      </c>
      <c r="J171" s="2" t="s">
        <v>729</v>
      </c>
      <c r="K171" s="2">
        <v>17</v>
      </c>
      <c r="L171" s="2" t="str">
        <f t="shared" si="8"/>
        <v>湖北省</v>
      </c>
      <c r="M171" s="2" t="s">
        <v>730</v>
      </c>
      <c r="N171" s="4">
        <v>170</v>
      </c>
      <c r="O171" s="4" t="s">
        <v>731</v>
      </c>
      <c r="P171" s="4">
        <v>10</v>
      </c>
      <c r="Q171" s="4" t="str">
        <f t="shared" si="11"/>
        <v>承德市</v>
      </c>
      <c r="R171" s="4">
        <f t="shared" si="9"/>
        <v>3</v>
      </c>
      <c r="S171" s="4" t="str">
        <f t="shared" si="10"/>
        <v>河北省</v>
      </c>
    </row>
    <row r="172" spans="9:19">
      <c r="I172" s="2">
        <v>171</v>
      </c>
      <c r="J172" s="2" t="s">
        <v>732</v>
      </c>
      <c r="K172" s="2">
        <v>17</v>
      </c>
      <c r="L172" s="2" t="str">
        <f t="shared" si="8"/>
        <v>湖北省</v>
      </c>
      <c r="M172" s="2" t="s">
        <v>733</v>
      </c>
      <c r="N172" s="4">
        <v>171</v>
      </c>
      <c r="O172" s="4" t="s">
        <v>734</v>
      </c>
      <c r="P172" s="4">
        <v>10</v>
      </c>
      <c r="Q172" s="4" t="str">
        <f t="shared" si="11"/>
        <v>承德市</v>
      </c>
      <c r="R172" s="4">
        <f t="shared" si="9"/>
        <v>3</v>
      </c>
      <c r="S172" s="4" t="str">
        <f t="shared" si="10"/>
        <v>河北省</v>
      </c>
    </row>
    <row r="173" spans="9:19">
      <c r="I173" s="2">
        <v>172</v>
      </c>
      <c r="J173" s="2" t="s">
        <v>735</v>
      </c>
      <c r="K173" s="2">
        <v>17</v>
      </c>
      <c r="L173" s="2" t="str">
        <f t="shared" si="8"/>
        <v>湖北省</v>
      </c>
      <c r="M173" s="2" t="s">
        <v>736</v>
      </c>
      <c r="N173" s="4">
        <v>172</v>
      </c>
      <c r="O173" s="4" t="s">
        <v>331</v>
      </c>
      <c r="P173" s="4">
        <v>11</v>
      </c>
      <c r="Q173" s="4" t="str">
        <f t="shared" si="11"/>
        <v>沧州市</v>
      </c>
      <c r="R173" s="4">
        <f t="shared" si="9"/>
        <v>3</v>
      </c>
      <c r="S173" s="4" t="str">
        <f t="shared" si="10"/>
        <v>河北省</v>
      </c>
    </row>
    <row r="174" spans="9:19">
      <c r="I174" s="2">
        <v>173</v>
      </c>
      <c r="J174" s="2" t="s">
        <v>737</v>
      </c>
      <c r="K174" s="2">
        <v>17</v>
      </c>
      <c r="L174" s="2" t="str">
        <f t="shared" si="8"/>
        <v>湖北省</v>
      </c>
      <c r="M174" s="2" t="s">
        <v>738</v>
      </c>
      <c r="N174" s="4">
        <v>173</v>
      </c>
      <c r="O174" s="4" t="s">
        <v>739</v>
      </c>
      <c r="P174" s="4">
        <v>11</v>
      </c>
      <c r="Q174" s="4" t="str">
        <f t="shared" si="11"/>
        <v>沧州市</v>
      </c>
      <c r="R174" s="4">
        <f t="shared" si="9"/>
        <v>3</v>
      </c>
      <c r="S174" s="4" t="str">
        <f t="shared" si="10"/>
        <v>河北省</v>
      </c>
    </row>
    <row r="175" spans="9:19">
      <c r="I175" s="2">
        <v>174</v>
      </c>
      <c r="J175" s="2" t="s">
        <v>740</v>
      </c>
      <c r="K175" s="2">
        <v>17</v>
      </c>
      <c r="L175" s="2" t="str">
        <f t="shared" si="8"/>
        <v>湖北省</v>
      </c>
      <c r="M175" s="2" t="s">
        <v>741</v>
      </c>
      <c r="N175" s="4">
        <v>174</v>
      </c>
      <c r="O175" s="4" t="s">
        <v>742</v>
      </c>
      <c r="P175" s="4">
        <v>11</v>
      </c>
      <c r="Q175" s="4" t="str">
        <f t="shared" si="11"/>
        <v>沧州市</v>
      </c>
      <c r="R175" s="4">
        <f t="shared" si="9"/>
        <v>3</v>
      </c>
      <c r="S175" s="4" t="str">
        <f t="shared" si="10"/>
        <v>河北省</v>
      </c>
    </row>
    <row r="176" spans="9:19">
      <c r="I176" s="2">
        <v>175</v>
      </c>
      <c r="J176" s="2" t="s">
        <v>743</v>
      </c>
      <c r="K176" s="2">
        <v>17</v>
      </c>
      <c r="L176" s="2" t="str">
        <f t="shared" si="8"/>
        <v>湖北省</v>
      </c>
      <c r="M176" s="2" t="s">
        <v>744</v>
      </c>
      <c r="N176" s="4">
        <v>175</v>
      </c>
      <c r="O176" s="4" t="s">
        <v>745</v>
      </c>
      <c r="P176" s="4">
        <v>11</v>
      </c>
      <c r="Q176" s="4" t="str">
        <f t="shared" si="11"/>
        <v>沧州市</v>
      </c>
      <c r="R176" s="4">
        <f t="shared" si="9"/>
        <v>3</v>
      </c>
      <c r="S176" s="4" t="str">
        <f t="shared" si="10"/>
        <v>河北省</v>
      </c>
    </row>
    <row r="177" spans="9:19">
      <c r="I177" s="2">
        <v>176</v>
      </c>
      <c r="J177" s="2" t="s">
        <v>746</v>
      </c>
      <c r="K177" s="2">
        <v>17</v>
      </c>
      <c r="L177" s="2" t="str">
        <f t="shared" si="8"/>
        <v>湖北省</v>
      </c>
      <c r="M177" s="2" t="s">
        <v>747</v>
      </c>
      <c r="N177" s="4">
        <v>176</v>
      </c>
      <c r="O177" s="4" t="s">
        <v>748</v>
      </c>
      <c r="P177" s="4">
        <v>11</v>
      </c>
      <c r="Q177" s="4" t="str">
        <f t="shared" si="11"/>
        <v>沧州市</v>
      </c>
      <c r="R177" s="4">
        <f t="shared" si="9"/>
        <v>3</v>
      </c>
      <c r="S177" s="4" t="str">
        <f t="shared" si="10"/>
        <v>河北省</v>
      </c>
    </row>
    <row r="178" spans="9:19">
      <c r="I178" s="2">
        <v>177</v>
      </c>
      <c r="J178" s="2" t="s">
        <v>749</v>
      </c>
      <c r="K178" s="2">
        <v>17</v>
      </c>
      <c r="L178" s="2" t="str">
        <f t="shared" si="8"/>
        <v>湖北省</v>
      </c>
      <c r="M178" s="2" t="s">
        <v>750</v>
      </c>
      <c r="N178" s="4">
        <v>177</v>
      </c>
      <c r="O178" s="4" t="s">
        <v>751</v>
      </c>
      <c r="P178" s="4">
        <v>11</v>
      </c>
      <c r="Q178" s="4" t="str">
        <f t="shared" si="11"/>
        <v>沧州市</v>
      </c>
      <c r="R178" s="4">
        <f t="shared" si="9"/>
        <v>3</v>
      </c>
      <c r="S178" s="4" t="str">
        <f t="shared" si="10"/>
        <v>河北省</v>
      </c>
    </row>
    <row r="179" spans="9:19">
      <c r="I179" s="2">
        <v>178</v>
      </c>
      <c r="J179" s="2" t="s">
        <v>752</v>
      </c>
      <c r="K179" s="2">
        <v>17</v>
      </c>
      <c r="L179" s="2" t="str">
        <f t="shared" si="8"/>
        <v>湖北省</v>
      </c>
      <c r="M179" s="2" t="s">
        <v>753</v>
      </c>
      <c r="N179" s="4">
        <v>178</v>
      </c>
      <c r="O179" s="4" t="s">
        <v>754</v>
      </c>
      <c r="P179" s="4">
        <v>11</v>
      </c>
      <c r="Q179" s="4" t="str">
        <f t="shared" si="11"/>
        <v>沧州市</v>
      </c>
      <c r="R179" s="4">
        <f t="shared" si="9"/>
        <v>3</v>
      </c>
      <c r="S179" s="4" t="str">
        <f t="shared" si="10"/>
        <v>河北省</v>
      </c>
    </row>
    <row r="180" spans="9:19">
      <c r="I180" s="2">
        <v>179</v>
      </c>
      <c r="J180" s="2" t="s">
        <v>755</v>
      </c>
      <c r="K180" s="2">
        <v>17</v>
      </c>
      <c r="L180" s="2" t="str">
        <f t="shared" si="8"/>
        <v>湖北省</v>
      </c>
      <c r="M180" s="2" t="s">
        <v>756</v>
      </c>
      <c r="N180" s="4">
        <v>179</v>
      </c>
      <c r="O180" s="4" t="s">
        <v>757</v>
      </c>
      <c r="P180" s="4">
        <v>11</v>
      </c>
      <c r="Q180" s="4" t="str">
        <f t="shared" si="11"/>
        <v>沧州市</v>
      </c>
      <c r="R180" s="4">
        <f t="shared" si="9"/>
        <v>3</v>
      </c>
      <c r="S180" s="4" t="str">
        <f t="shared" si="10"/>
        <v>河北省</v>
      </c>
    </row>
    <row r="181" spans="9:19">
      <c r="I181" s="2">
        <v>180</v>
      </c>
      <c r="J181" s="2" t="s">
        <v>758</v>
      </c>
      <c r="K181" s="2">
        <v>17</v>
      </c>
      <c r="L181" s="2" t="str">
        <f t="shared" si="8"/>
        <v>湖北省</v>
      </c>
      <c r="M181" s="2" t="s">
        <v>759</v>
      </c>
      <c r="N181" s="4">
        <v>180</v>
      </c>
      <c r="O181" s="4" t="s">
        <v>760</v>
      </c>
      <c r="P181" s="4">
        <v>11</v>
      </c>
      <c r="Q181" s="4" t="str">
        <f t="shared" si="11"/>
        <v>沧州市</v>
      </c>
      <c r="R181" s="4">
        <f t="shared" si="9"/>
        <v>3</v>
      </c>
      <c r="S181" s="4" t="str">
        <f t="shared" si="10"/>
        <v>河北省</v>
      </c>
    </row>
    <row r="182" spans="9:19">
      <c r="I182" s="2">
        <v>181</v>
      </c>
      <c r="J182" s="2" t="s">
        <v>761</v>
      </c>
      <c r="K182" s="2">
        <v>17</v>
      </c>
      <c r="L182" s="2" t="str">
        <f t="shared" si="8"/>
        <v>湖北省</v>
      </c>
      <c r="M182" s="2" t="s">
        <v>762</v>
      </c>
      <c r="N182" s="4">
        <v>181</v>
      </c>
      <c r="O182" s="4" t="s">
        <v>763</v>
      </c>
      <c r="P182" s="4">
        <v>11</v>
      </c>
      <c r="Q182" s="4" t="str">
        <f t="shared" si="11"/>
        <v>沧州市</v>
      </c>
      <c r="R182" s="4">
        <f t="shared" si="9"/>
        <v>3</v>
      </c>
      <c r="S182" s="4" t="str">
        <f t="shared" si="10"/>
        <v>河北省</v>
      </c>
    </row>
    <row r="183" spans="9:19">
      <c r="I183" s="2">
        <v>182</v>
      </c>
      <c r="J183" s="2" t="s">
        <v>764</v>
      </c>
      <c r="K183" s="2">
        <v>17</v>
      </c>
      <c r="L183" s="2" t="str">
        <f t="shared" si="8"/>
        <v>湖北省</v>
      </c>
      <c r="M183" s="2" t="s">
        <v>765</v>
      </c>
      <c r="N183" s="4">
        <v>182</v>
      </c>
      <c r="O183" s="4" t="s">
        <v>766</v>
      </c>
      <c r="P183" s="4">
        <v>11</v>
      </c>
      <c r="Q183" s="4" t="str">
        <f t="shared" si="11"/>
        <v>沧州市</v>
      </c>
      <c r="R183" s="4">
        <f t="shared" si="9"/>
        <v>3</v>
      </c>
      <c r="S183" s="4" t="str">
        <f t="shared" si="10"/>
        <v>河北省</v>
      </c>
    </row>
    <row r="184" spans="9:19">
      <c r="I184" s="2">
        <v>183</v>
      </c>
      <c r="J184" s="2" t="s">
        <v>767</v>
      </c>
      <c r="K184" s="2">
        <v>18</v>
      </c>
      <c r="L184" s="2" t="str">
        <f t="shared" si="8"/>
        <v>湖南省</v>
      </c>
      <c r="M184" s="2" t="s">
        <v>768</v>
      </c>
      <c r="N184" s="4">
        <v>183</v>
      </c>
      <c r="O184" s="4" t="s">
        <v>769</v>
      </c>
      <c r="P184" s="4">
        <v>11</v>
      </c>
      <c r="Q184" s="4" t="str">
        <f t="shared" si="11"/>
        <v>沧州市</v>
      </c>
      <c r="R184" s="4">
        <f t="shared" si="9"/>
        <v>3</v>
      </c>
      <c r="S184" s="4" t="str">
        <f t="shared" si="10"/>
        <v>河北省</v>
      </c>
    </row>
    <row r="185" spans="9:19">
      <c r="I185" s="2">
        <v>184</v>
      </c>
      <c r="J185" s="2" t="s">
        <v>770</v>
      </c>
      <c r="K185" s="2">
        <v>18</v>
      </c>
      <c r="L185" s="2" t="str">
        <f t="shared" si="8"/>
        <v>湖南省</v>
      </c>
      <c r="M185" s="2" t="s">
        <v>771</v>
      </c>
      <c r="N185" s="4">
        <v>184</v>
      </c>
      <c r="O185" s="4" t="s">
        <v>772</v>
      </c>
      <c r="P185" s="4">
        <v>11</v>
      </c>
      <c r="Q185" s="4" t="str">
        <f t="shared" si="11"/>
        <v>沧州市</v>
      </c>
      <c r="R185" s="4">
        <f t="shared" si="9"/>
        <v>3</v>
      </c>
      <c r="S185" s="4" t="str">
        <f t="shared" si="10"/>
        <v>河北省</v>
      </c>
    </row>
    <row r="186" spans="9:19">
      <c r="I186" s="2">
        <v>185</v>
      </c>
      <c r="J186" s="2" t="s">
        <v>773</v>
      </c>
      <c r="K186" s="2">
        <v>18</v>
      </c>
      <c r="L186" s="2" t="str">
        <f t="shared" si="8"/>
        <v>湖南省</v>
      </c>
      <c r="M186" s="2" t="s">
        <v>774</v>
      </c>
      <c r="N186" s="4">
        <v>185</v>
      </c>
      <c r="O186" s="4" t="s">
        <v>775</v>
      </c>
      <c r="P186" s="4">
        <v>11</v>
      </c>
      <c r="Q186" s="4" t="str">
        <f t="shared" si="11"/>
        <v>沧州市</v>
      </c>
      <c r="R186" s="4">
        <f t="shared" si="9"/>
        <v>3</v>
      </c>
      <c r="S186" s="4" t="str">
        <f t="shared" si="10"/>
        <v>河北省</v>
      </c>
    </row>
    <row r="187" spans="9:19">
      <c r="I187" s="2">
        <v>186</v>
      </c>
      <c r="J187" s="2" t="s">
        <v>776</v>
      </c>
      <c r="K187" s="2">
        <v>18</v>
      </c>
      <c r="L187" s="2" t="str">
        <f t="shared" si="8"/>
        <v>湖南省</v>
      </c>
      <c r="M187" s="2" t="s">
        <v>777</v>
      </c>
      <c r="N187" s="4">
        <v>186</v>
      </c>
      <c r="O187" s="4" t="s">
        <v>778</v>
      </c>
      <c r="P187" s="4">
        <v>11</v>
      </c>
      <c r="Q187" s="4" t="str">
        <f t="shared" si="11"/>
        <v>沧州市</v>
      </c>
      <c r="R187" s="4">
        <f t="shared" si="9"/>
        <v>3</v>
      </c>
      <c r="S187" s="4" t="str">
        <f t="shared" si="10"/>
        <v>河北省</v>
      </c>
    </row>
    <row r="188" spans="9:19">
      <c r="I188" s="2">
        <v>187</v>
      </c>
      <c r="J188" s="2" t="s">
        <v>779</v>
      </c>
      <c r="K188" s="2">
        <v>18</v>
      </c>
      <c r="L188" s="2" t="str">
        <f t="shared" si="8"/>
        <v>湖南省</v>
      </c>
      <c r="M188" s="2" t="s">
        <v>780</v>
      </c>
      <c r="N188" s="4">
        <v>187</v>
      </c>
      <c r="O188" s="4" t="s">
        <v>781</v>
      </c>
      <c r="P188" s="4">
        <v>11</v>
      </c>
      <c r="Q188" s="4" t="str">
        <f t="shared" si="11"/>
        <v>沧州市</v>
      </c>
      <c r="R188" s="4">
        <f t="shared" si="9"/>
        <v>3</v>
      </c>
      <c r="S188" s="4" t="str">
        <f t="shared" si="10"/>
        <v>河北省</v>
      </c>
    </row>
    <row r="189" spans="9:19">
      <c r="I189" s="2">
        <v>188</v>
      </c>
      <c r="J189" s="2" t="s">
        <v>782</v>
      </c>
      <c r="K189" s="2">
        <v>18</v>
      </c>
      <c r="L189" s="2" t="str">
        <f t="shared" si="8"/>
        <v>湖南省</v>
      </c>
      <c r="M189" s="2" t="s">
        <v>783</v>
      </c>
      <c r="N189" s="4">
        <v>188</v>
      </c>
      <c r="O189" s="4" t="s">
        <v>784</v>
      </c>
      <c r="P189" s="4">
        <v>12</v>
      </c>
      <c r="Q189" s="4" t="str">
        <f t="shared" si="11"/>
        <v>廊坊市</v>
      </c>
      <c r="R189" s="4">
        <f t="shared" si="9"/>
        <v>3</v>
      </c>
      <c r="S189" s="4" t="str">
        <f t="shared" si="10"/>
        <v>河北省</v>
      </c>
    </row>
    <row r="190" spans="9:19">
      <c r="I190" s="2">
        <v>189</v>
      </c>
      <c r="J190" s="2" t="s">
        <v>785</v>
      </c>
      <c r="K190" s="2">
        <v>18</v>
      </c>
      <c r="L190" s="2" t="str">
        <f t="shared" si="8"/>
        <v>湖南省</v>
      </c>
      <c r="M190" s="2" t="s">
        <v>786</v>
      </c>
      <c r="N190" s="4">
        <v>189</v>
      </c>
      <c r="O190" s="4" t="s">
        <v>787</v>
      </c>
      <c r="P190" s="4">
        <v>12</v>
      </c>
      <c r="Q190" s="4" t="str">
        <f t="shared" si="11"/>
        <v>廊坊市</v>
      </c>
      <c r="R190" s="4">
        <f t="shared" si="9"/>
        <v>3</v>
      </c>
      <c r="S190" s="4" t="str">
        <f t="shared" si="10"/>
        <v>河北省</v>
      </c>
    </row>
    <row r="191" spans="9:19">
      <c r="I191" s="2">
        <v>190</v>
      </c>
      <c r="J191" s="2" t="s">
        <v>788</v>
      </c>
      <c r="K191" s="2">
        <v>18</v>
      </c>
      <c r="L191" s="2" t="str">
        <f t="shared" si="8"/>
        <v>湖南省</v>
      </c>
      <c r="M191" s="2" t="s">
        <v>789</v>
      </c>
      <c r="N191" s="4">
        <v>190</v>
      </c>
      <c r="O191" s="4" t="s">
        <v>790</v>
      </c>
      <c r="P191" s="4">
        <v>12</v>
      </c>
      <c r="Q191" s="4" t="str">
        <f t="shared" si="11"/>
        <v>廊坊市</v>
      </c>
      <c r="R191" s="4">
        <f t="shared" si="9"/>
        <v>3</v>
      </c>
      <c r="S191" s="4" t="str">
        <f t="shared" si="10"/>
        <v>河北省</v>
      </c>
    </row>
    <row r="192" spans="9:19">
      <c r="I192" s="2">
        <v>191</v>
      </c>
      <c r="J192" s="2" t="s">
        <v>791</v>
      </c>
      <c r="K192" s="2">
        <v>18</v>
      </c>
      <c r="L192" s="2" t="str">
        <f t="shared" si="8"/>
        <v>湖南省</v>
      </c>
      <c r="M192" s="2" t="s">
        <v>792</v>
      </c>
      <c r="N192" s="4">
        <v>191</v>
      </c>
      <c r="O192" s="4" t="s">
        <v>793</v>
      </c>
      <c r="P192" s="4">
        <v>12</v>
      </c>
      <c r="Q192" s="4" t="str">
        <f t="shared" si="11"/>
        <v>廊坊市</v>
      </c>
      <c r="R192" s="4">
        <f t="shared" si="9"/>
        <v>3</v>
      </c>
      <c r="S192" s="4" t="str">
        <f t="shared" si="10"/>
        <v>河北省</v>
      </c>
    </row>
    <row r="193" spans="9:19">
      <c r="I193" s="2">
        <v>192</v>
      </c>
      <c r="J193" s="2" t="s">
        <v>794</v>
      </c>
      <c r="K193" s="2">
        <v>18</v>
      </c>
      <c r="L193" s="2" t="str">
        <f t="shared" si="8"/>
        <v>湖南省</v>
      </c>
      <c r="M193" s="2" t="s">
        <v>795</v>
      </c>
      <c r="N193" s="4">
        <v>192</v>
      </c>
      <c r="O193" s="4" t="s">
        <v>796</v>
      </c>
      <c r="P193" s="4">
        <v>12</v>
      </c>
      <c r="Q193" s="4" t="str">
        <f t="shared" si="11"/>
        <v>廊坊市</v>
      </c>
      <c r="R193" s="4">
        <f t="shared" si="9"/>
        <v>3</v>
      </c>
      <c r="S193" s="4" t="str">
        <f t="shared" si="10"/>
        <v>河北省</v>
      </c>
    </row>
    <row r="194" spans="9:19">
      <c r="I194" s="2">
        <v>193</v>
      </c>
      <c r="J194" s="2" t="s">
        <v>797</v>
      </c>
      <c r="K194" s="2">
        <v>18</v>
      </c>
      <c r="L194" s="2" t="str">
        <f t="shared" ref="L194:L257" si="12">VLOOKUP(K194,$G$2:$H$35,2,FALSE)</f>
        <v>湖南省</v>
      </c>
      <c r="M194" s="2" t="s">
        <v>798</v>
      </c>
      <c r="N194" s="4">
        <v>193</v>
      </c>
      <c r="O194" s="4" t="s">
        <v>799</v>
      </c>
      <c r="P194" s="4">
        <v>12</v>
      </c>
      <c r="Q194" s="4" t="str">
        <f t="shared" si="11"/>
        <v>廊坊市</v>
      </c>
      <c r="R194" s="4">
        <f t="shared" ref="R194:R257" si="13">VLOOKUP(P194,$I$2:$M$346,3,FALSE)</f>
        <v>3</v>
      </c>
      <c r="S194" s="4" t="str">
        <f t="shared" ref="S194:S257" si="14">VLOOKUP(P194,$I$2:$M$346,4,FALSE)</f>
        <v>河北省</v>
      </c>
    </row>
    <row r="195" spans="9:19">
      <c r="I195" s="2">
        <v>194</v>
      </c>
      <c r="J195" s="2" t="s">
        <v>800</v>
      </c>
      <c r="K195" s="2">
        <v>18</v>
      </c>
      <c r="L195" s="2" t="str">
        <f t="shared" si="12"/>
        <v>湖南省</v>
      </c>
      <c r="M195" s="2" t="s">
        <v>801</v>
      </c>
      <c r="N195" s="4">
        <v>194</v>
      </c>
      <c r="O195" s="4" t="s">
        <v>802</v>
      </c>
      <c r="P195" s="4">
        <v>12</v>
      </c>
      <c r="Q195" s="4" t="str">
        <f t="shared" ref="Q195:Q258" si="15">VLOOKUP(P195,$I$2:$J$346,2,FALSE)</f>
        <v>廊坊市</v>
      </c>
      <c r="R195" s="4">
        <f t="shared" si="13"/>
        <v>3</v>
      </c>
      <c r="S195" s="4" t="str">
        <f t="shared" si="14"/>
        <v>河北省</v>
      </c>
    </row>
    <row r="196" spans="9:19">
      <c r="I196" s="2">
        <v>195</v>
      </c>
      <c r="J196" s="2" t="s">
        <v>803</v>
      </c>
      <c r="K196" s="2">
        <v>18</v>
      </c>
      <c r="L196" s="2" t="str">
        <f t="shared" si="12"/>
        <v>湖南省</v>
      </c>
      <c r="M196" s="2" t="s">
        <v>804</v>
      </c>
      <c r="N196" s="4">
        <v>195</v>
      </c>
      <c r="O196" s="4" t="s">
        <v>805</v>
      </c>
      <c r="P196" s="4">
        <v>12</v>
      </c>
      <c r="Q196" s="4" t="str">
        <f t="shared" si="15"/>
        <v>廊坊市</v>
      </c>
      <c r="R196" s="4">
        <f t="shared" si="13"/>
        <v>3</v>
      </c>
      <c r="S196" s="4" t="str">
        <f t="shared" si="14"/>
        <v>河北省</v>
      </c>
    </row>
    <row r="197" spans="9:19">
      <c r="I197" s="2">
        <v>196</v>
      </c>
      <c r="J197" s="2" t="s">
        <v>806</v>
      </c>
      <c r="K197" s="2">
        <v>18</v>
      </c>
      <c r="L197" s="2" t="str">
        <f t="shared" si="12"/>
        <v>湖南省</v>
      </c>
      <c r="M197" s="2" t="s">
        <v>807</v>
      </c>
      <c r="N197" s="4">
        <v>196</v>
      </c>
      <c r="O197" s="4" t="s">
        <v>808</v>
      </c>
      <c r="P197" s="4">
        <v>12</v>
      </c>
      <c r="Q197" s="4" t="str">
        <f t="shared" si="15"/>
        <v>廊坊市</v>
      </c>
      <c r="R197" s="4">
        <f t="shared" si="13"/>
        <v>3</v>
      </c>
      <c r="S197" s="4" t="str">
        <f t="shared" si="14"/>
        <v>河北省</v>
      </c>
    </row>
    <row r="198" spans="9:19">
      <c r="I198" s="2">
        <v>197</v>
      </c>
      <c r="J198" s="2" t="s">
        <v>809</v>
      </c>
      <c r="K198" s="2">
        <v>19</v>
      </c>
      <c r="L198" s="2" t="str">
        <f t="shared" si="12"/>
        <v>广东省</v>
      </c>
      <c r="M198" s="2" t="s">
        <v>810</v>
      </c>
      <c r="N198" s="4">
        <v>197</v>
      </c>
      <c r="O198" s="4" t="s">
        <v>811</v>
      </c>
      <c r="P198" s="4">
        <v>12</v>
      </c>
      <c r="Q198" s="4" t="str">
        <f t="shared" si="15"/>
        <v>廊坊市</v>
      </c>
      <c r="R198" s="4">
        <f t="shared" si="13"/>
        <v>3</v>
      </c>
      <c r="S198" s="4" t="str">
        <f t="shared" si="14"/>
        <v>河北省</v>
      </c>
    </row>
    <row r="199" spans="9:19">
      <c r="I199" s="2">
        <v>198</v>
      </c>
      <c r="J199" s="2" t="s">
        <v>812</v>
      </c>
      <c r="K199" s="2">
        <v>19</v>
      </c>
      <c r="L199" s="2" t="str">
        <f t="shared" si="12"/>
        <v>广东省</v>
      </c>
      <c r="M199" s="2" t="s">
        <v>813</v>
      </c>
      <c r="N199" s="4">
        <v>198</v>
      </c>
      <c r="O199" s="4" t="s">
        <v>814</v>
      </c>
      <c r="P199" s="4">
        <v>13</v>
      </c>
      <c r="Q199" s="4" t="str">
        <f t="shared" si="15"/>
        <v>衡水市</v>
      </c>
      <c r="R199" s="4">
        <f t="shared" si="13"/>
        <v>3</v>
      </c>
      <c r="S199" s="4" t="str">
        <f t="shared" si="14"/>
        <v>河北省</v>
      </c>
    </row>
    <row r="200" spans="9:19">
      <c r="I200" s="2">
        <v>199</v>
      </c>
      <c r="J200" s="2" t="s">
        <v>815</v>
      </c>
      <c r="K200" s="2">
        <v>19</v>
      </c>
      <c r="L200" s="2" t="str">
        <f t="shared" si="12"/>
        <v>广东省</v>
      </c>
      <c r="M200" s="2" t="s">
        <v>816</v>
      </c>
      <c r="N200" s="4">
        <v>199</v>
      </c>
      <c r="O200" s="4" t="s">
        <v>817</v>
      </c>
      <c r="P200" s="4">
        <v>13</v>
      </c>
      <c r="Q200" s="4" t="str">
        <f t="shared" si="15"/>
        <v>衡水市</v>
      </c>
      <c r="R200" s="4">
        <f t="shared" si="13"/>
        <v>3</v>
      </c>
      <c r="S200" s="4" t="str">
        <f t="shared" si="14"/>
        <v>河北省</v>
      </c>
    </row>
    <row r="201" spans="9:19">
      <c r="I201" s="2">
        <v>200</v>
      </c>
      <c r="J201" s="2" t="s">
        <v>818</v>
      </c>
      <c r="K201" s="2">
        <v>19</v>
      </c>
      <c r="L201" s="2" t="str">
        <f t="shared" si="12"/>
        <v>广东省</v>
      </c>
      <c r="M201" s="2" t="s">
        <v>819</v>
      </c>
      <c r="N201" s="4">
        <v>200</v>
      </c>
      <c r="O201" s="4" t="s">
        <v>820</v>
      </c>
      <c r="P201" s="4">
        <v>13</v>
      </c>
      <c r="Q201" s="4" t="str">
        <f t="shared" si="15"/>
        <v>衡水市</v>
      </c>
      <c r="R201" s="4">
        <f t="shared" si="13"/>
        <v>3</v>
      </c>
      <c r="S201" s="4" t="str">
        <f t="shared" si="14"/>
        <v>河北省</v>
      </c>
    </row>
    <row r="202" spans="9:19">
      <c r="I202" s="2">
        <v>201</v>
      </c>
      <c r="J202" s="2" t="s">
        <v>821</v>
      </c>
      <c r="K202" s="2">
        <v>19</v>
      </c>
      <c r="L202" s="2" t="str">
        <f t="shared" si="12"/>
        <v>广东省</v>
      </c>
      <c r="M202" s="2" t="s">
        <v>822</v>
      </c>
      <c r="N202" s="4">
        <v>201</v>
      </c>
      <c r="O202" s="4" t="s">
        <v>823</v>
      </c>
      <c r="P202" s="4">
        <v>13</v>
      </c>
      <c r="Q202" s="4" t="str">
        <f t="shared" si="15"/>
        <v>衡水市</v>
      </c>
      <c r="R202" s="4">
        <f t="shared" si="13"/>
        <v>3</v>
      </c>
      <c r="S202" s="4" t="str">
        <f t="shared" si="14"/>
        <v>河北省</v>
      </c>
    </row>
    <row r="203" spans="9:19">
      <c r="I203" s="2">
        <v>202</v>
      </c>
      <c r="J203" s="2" t="s">
        <v>824</v>
      </c>
      <c r="K203" s="2">
        <v>19</v>
      </c>
      <c r="L203" s="2" t="str">
        <f t="shared" si="12"/>
        <v>广东省</v>
      </c>
      <c r="M203" s="2" t="s">
        <v>825</v>
      </c>
      <c r="N203" s="4">
        <v>202</v>
      </c>
      <c r="O203" s="4" t="s">
        <v>826</v>
      </c>
      <c r="P203" s="4">
        <v>13</v>
      </c>
      <c r="Q203" s="4" t="str">
        <f t="shared" si="15"/>
        <v>衡水市</v>
      </c>
      <c r="R203" s="4">
        <f t="shared" si="13"/>
        <v>3</v>
      </c>
      <c r="S203" s="4" t="str">
        <f t="shared" si="14"/>
        <v>河北省</v>
      </c>
    </row>
    <row r="204" spans="9:19">
      <c r="I204" s="2">
        <v>203</v>
      </c>
      <c r="J204" s="2" t="s">
        <v>827</v>
      </c>
      <c r="K204" s="2">
        <v>19</v>
      </c>
      <c r="L204" s="2" t="str">
        <f t="shared" si="12"/>
        <v>广东省</v>
      </c>
      <c r="M204" s="2" t="s">
        <v>828</v>
      </c>
      <c r="N204" s="4">
        <v>203</v>
      </c>
      <c r="O204" s="4" t="s">
        <v>829</v>
      </c>
      <c r="P204" s="4">
        <v>13</v>
      </c>
      <c r="Q204" s="4" t="str">
        <f t="shared" si="15"/>
        <v>衡水市</v>
      </c>
      <c r="R204" s="4">
        <f t="shared" si="13"/>
        <v>3</v>
      </c>
      <c r="S204" s="4" t="str">
        <f t="shared" si="14"/>
        <v>河北省</v>
      </c>
    </row>
    <row r="205" spans="9:19">
      <c r="I205" s="2">
        <v>204</v>
      </c>
      <c r="J205" s="2" t="s">
        <v>830</v>
      </c>
      <c r="K205" s="2">
        <v>19</v>
      </c>
      <c r="L205" s="2" t="str">
        <f t="shared" si="12"/>
        <v>广东省</v>
      </c>
      <c r="M205" s="2" t="s">
        <v>831</v>
      </c>
      <c r="N205" s="4">
        <v>204</v>
      </c>
      <c r="O205" s="4" t="s">
        <v>832</v>
      </c>
      <c r="P205" s="4">
        <v>13</v>
      </c>
      <c r="Q205" s="4" t="str">
        <f t="shared" si="15"/>
        <v>衡水市</v>
      </c>
      <c r="R205" s="4">
        <f t="shared" si="13"/>
        <v>3</v>
      </c>
      <c r="S205" s="4" t="str">
        <f t="shared" si="14"/>
        <v>河北省</v>
      </c>
    </row>
    <row r="206" spans="9:19">
      <c r="I206" s="2">
        <v>205</v>
      </c>
      <c r="J206" s="2" t="s">
        <v>833</v>
      </c>
      <c r="K206" s="2">
        <v>19</v>
      </c>
      <c r="L206" s="2" t="str">
        <f t="shared" si="12"/>
        <v>广东省</v>
      </c>
      <c r="M206" s="2" t="s">
        <v>834</v>
      </c>
      <c r="N206" s="4">
        <v>205</v>
      </c>
      <c r="O206" s="4" t="s">
        <v>835</v>
      </c>
      <c r="P206" s="4">
        <v>13</v>
      </c>
      <c r="Q206" s="4" t="str">
        <f t="shared" si="15"/>
        <v>衡水市</v>
      </c>
      <c r="R206" s="4">
        <f t="shared" si="13"/>
        <v>3</v>
      </c>
      <c r="S206" s="4" t="str">
        <f t="shared" si="14"/>
        <v>河北省</v>
      </c>
    </row>
    <row r="207" spans="9:19">
      <c r="I207" s="2">
        <v>206</v>
      </c>
      <c r="J207" s="2" t="s">
        <v>836</v>
      </c>
      <c r="K207" s="2">
        <v>19</v>
      </c>
      <c r="L207" s="2" t="str">
        <f t="shared" si="12"/>
        <v>广东省</v>
      </c>
      <c r="M207" s="2" t="s">
        <v>837</v>
      </c>
      <c r="N207" s="4">
        <v>206</v>
      </c>
      <c r="O207" s="4" t="s">
        <v>838</v>
      </c>
      <c r="P207" s="4">
        <v>13</v>
      </c>
      <c r="Q207" s="4" t="str">
        <f t="shared" si="15"/>
        <v>衡水市</v>
      </c>
      <c r="R207" s="4">
        <f t="shared" si="13"/>
        <v>3</v>
      </c>
      <c r="S207" s="4" t="str">
        <f t="shared" si="14"/>
        <v>河北省</v>
      </c>
    </row>
    <row r="208" spans="9:19">
      <c r="I208" s="2">
        <v>207</v>
      </c>
      <c r="J208" s="2" t="s">
        <v>839</v>
      </c>
      <c r="K208" s="2">
        <v>19</v>
      </c>
      <c r="L208" s="2" t="str">
        <f t="shared" si="12"/>
        <v>广东省</v>
      </c>
      <c r="M208" s="2" t="s">
        <v>840</v>
      </c>
      <c r="N208" s="4">
        <v>207</v>
      </c>
      <c r="O208" s="4" t="s">
        <v>841</v>
      </c>
      <c r="P208" s="4">
        <v>13</v>
      </c>
      <c r="Q208" s="4" t="str">
        <f t="shared" si="15"/>
        <v>衡水市</v>
      </c>
      <c r="R208" s="4">
        <f t="shared" si="13"/>
        <v>3</v>
      </c>
      <c r="S208" s="4" t="str">
        <f t="shared" si="14"/>
        <v>河北省</v>
      </c>
    </row>
    <row r="209" spans="9:19">
      <c r="I209" s="2">
        <v>208</v>
      </c>
      <c r="J209" s="2" t="s">
        <v>842</v>
      </c>
      <c r="K209" s="2">
        <v>19</v>
      </c>
      <c r="L209" s="2" t="str">
        <f t="shared" si="12"/>
        <v>广东省</v>
      </c>
      <c r="M209" s="2" t="s">
        <v>843</v>
      </c>
      <c r="N209" s="4">
        <v>208</v>
      </c>
      <c r="O209" s="4" t="s">
        <v>844</v>
      </c>
      <c r="P209" s="4">
        <v>13</v>
      </c>
      <c r="Q209" s="4" t="str">
        <f t="shared" si="15"/>
        <v>衡水市</v>
      </c>
      <c r="R209" s="4">
        <f t="shared" si="13"/>
        <v>3</v>
      </c>
      <c r="S209" s="4" t="str">
        <f t="shared" si="14"/>
        <v>河北省</v>
      </c>
    </row>
    <row r="210" spans="9:19">
      <c r="I210" s="2">
        <v>209</v>
      </c>
      <c r="J210" s="2" t="s">
        <v>845</v>
      </c>
      <c r="K210" s="2">
        <v>19</v>
      </c>
      <c r="L210" s="2" t="str">
        <f t="shared" si="12"/>
        <v>广东省</v>
      </c>
      <c r="M210" s="2" t="s">
        <v>846</v>
      </c>
      <c r="N210" s="4">
        <v>209</v>
      </c>
      <c r="O210" s="4" t="s">
        <v>847</v>
      </c>
      <c r="P210" s="4">
        <v>14</v>
      </c>
      <c r="Q210" s="4" t="str">
        <f t="shared" si="15"/>
        <v>太原市</v>
      </c>
      <c r="R210" s="4">
        <f t="shared" si="13"/>
        <v>4</v>
      </c>
      <c r="S210" s="4" t="str">
        <f t="shared" si="14"/>
        <v>山西省</v>
      </c>
    </row>
    <row r="211" spans="9:19">
      <c r="I211" s="2">
        <v>210</v>
      </c>
      <c r="J211" s="2" t="s">
        <v>848</v>
      </c>
      <c r="K211" s="2">
        <v>19</v>
      </c>
      <c r="L211" s="2" t="str">
        <f t="shared" si="12"/>
        <v>广东省</v>
      </c>
      <c r="M211" s="2" t="s">
        <v>849</v>
      </c>
      <c r="N211" s="4">
        <v>210</v>
      </c>
      <c r="O211" s="4" t="s">
        <v>850</v>
      </c>
      <c r="P211" s="4">
        <v>14</v>
      </c>
      <c r="Q211" s="4" t="str">
        <f t="shared" si="15"/>
        <v>太原市</v>
      </c>
      <c r="R211" s="4">
        <f t="shared" si="13"/>
        <v>4</v>
      </c>
      <c r="S211" s="4" t="str">
        <f t="shared" si="14"/>
        <v>山西省</v>
      </c>
    </row>
    <row r="212" spans="9:19">
      <c r="I212" s="2">
        <v>211</v>
      </c>
      <c r="J212" s="2" t="s">
        <v>851</v>
      </c>
      <c r="K212" s="2">
        <v>19</v>
      </c>
      <c r="L212" s="2" t="str">
        <f t="shared" si="12"/>
        <v>广东省</v>
      </c>
      <c r="M212" s="2" t="s">
        <v>852</v>
      </c>
      <c r="N212" s="4">
        <v>211</v>
      </c>
      <c r="O212" s="4" t="s">
        <v>853</v>
      </c>
      <c r="P212" s="4">
        <v>14</v>
      </c>
      <c r="Q212" s="4" t="str">
        <f t="shared" si="15"/>
        <v>太原市</v>
      </c>
      <c r="R212" s="4">
        <f t="shared" si="13"/>
        <v>4</v>
      </c>
      <c r="S212" s="4" t="str">
        <f t="shared" si="14"/>
        <v>山西省</v>
      </c>
    </row>
    <row r="213" spans="9:19">
      <c r="I213" s="2">
        <v>212</v>
      </c>
      <c r="J213" s="2" t="s">
        <v>854</v>
      </c>
      <c r="K213" s="2">
        <v>19</v>
      </c>
      <c r="L213" s="2" t="str">
        <f t="shared" si="12"/>
        <v>广东省</v>
      </c>
      <c r="M213" s="2" t="s">
        <v>855</v>
      </c>
      <c r="N213" s="4">
        <v>212</v>
      </c>
      <c r="O213" s="4" t="s">
        <v>856</v>
      </c>
      <c r="P213" s="4">
        <v>14</v>
      </c>
      <c r="Q213" s="4" t="str">
        <f t="shared" si="15"/>
        <v>太原市</v>
      </c>
      <c r="R213" s="4">
        <f t="shared" si="13"/>
        <v>4</v>
      </c>
      <c r="S213" s="4" t="str">
        <f t="shared" si="14"/>
        <v>山西省</v>
      </c>
    </row>
    <row r="214" spans="9:19">
      <c r="I214" s="2">
        <v>213</v>
      </c>
      <c r="J214" s="2" t="s">
        <v>857</v>
      </c>
      <c r="K214" s="2">
        <v>19</v>
      </c>
      <c r="L214" s="2" t="str">
        <f t="shared" si="12"/>
        <v>广东省</v>
      </c>
      <c r="M214" s="2" t="s">
        <v>858</v>
      </c>
      <c r="N214" s="4">
        <v>213</v>
      </c>
      <c r="O214" s="4" t="s">
        <v>859</v>
      </c>
      <c r="P214" s="4">
        <v>14</v>
      </c>
      <c r="Q214" s="4" t="str">
        <f t="shared" si="15"/>
        <v>太原市</v>
      </c>
      <c r="R214" s="4">
        <f t="shared" si="13"/>
        <v>4</v>
      </c>
      <c r="S214" s="4" t="str">
        <f t="shared" si="14"/>
        <v>山西省</v>
      </c>
    </row>
    <row r="215" spans="9:19">
      <c r="I215" s="2">
        <v>214</v>
      </c>
      <c r="J215" s="2" t="s">
        <v>860</v>
      </c>
      <c r="K215" s="2">
        <v>19</v>
      </c>
      <c r="L215" s="2" t="str">
        <f t="shared" si="12"/>
        <v>广东省</v>
      </c>
      <c r="M215" s="2" t="s">
        <v>861</v>
      </c>
      <c r="N215" s="4">
        <v>214</v>
      </c>
      <c r="O215" s="4" t="s">
        <v>862</v>
      </c>
      <c r="P215" s="4">
        <v>14</v>
      </c>
      <c r="Q215" s="4" t="str">
        <f t="shared" si="15"/>
        <v>太原市</v>
      </c>
      <c r="R215" s="4">
        <f t="shared" si="13"/>
        <v>4</v>
      </c>
      <c r="S215" s="4" t="str">
        <f t="shared" si="14"/>
        <v>山西省</v>
      </c>
    </row>
    <row r="216" spans="9:19">
      <c r="I216" s="2">
        <v>215</v>
      </c>
      <c r="J216" s="2" t="s">
        <v>863</v>
      </c>
      <c r="K216" s="2">
        <v>19</v>
      </c>
      <c r="L216" s="2" t="str">
        <f t="shared" si="12"/>
        <v>广东省</v>
      </c>
      <c r="M216" s="2" t="s">
        <v>864</v>
      </c>
      <c r="N216" s="4">
        <v>215</v>
      </c>
      <c r="O216" s="4" t="s">
        <v>865</v>
      </c>
      <c r="P216" s="4">
        <v>14</v>
      </c>
      <c r="Q216" s="4" t="str">
        <f t="shared" si="15"/>
        <v>太原市</v>
      </c>
      <c r="R216" s="4">
        <f t="shared" si="13"/>
        <v>4</v>
      </c>
      <c r="S216" s="4" t="str">
        <f t="shared" si="14"/>
        <v>山西省</v>
      </c>
    </row>
    <row r="217" spans="9:19">
      <c r="I217" s="2">
        <v>216</v>
      </c>
      <c r="J217" s="2" t="s">
        <v>866</v>
      </c>
      <c r="K217" s="2">
        <v>19</v>
      </c>
      <c r="L217" s="2" t="str">
        <f t="shared" si="12"/>
        <v>广东省</v>
      </c>
      <c r="M217" s="2" t="s">
        <v>867</v>
      </c>
      <c r="N217" s="4">
        <v>216</v>
      </c>
      <c r="O217" s="4" t="s">
        <v>868</v>
      </c>
      <c r="P217" s="4">
        <v>14</v>
      </c>
      <c r="Q217" s="4" t="str">
        <f t="shared" si="15"/>
        <v>太原市</v>
      </c>
      <c r="R217" s="4">
        <f t="shared" si="13"/>
        <v>4</v>
      </c>
      <c r="S217" s="4" t="str">
        <f t="shared" si="14"/>
        <v>山西省</v>
      </c>
    </row>
    <row r="218" spans="9:19">
      <c r="I218" s="2">
        <v>217</v>
      </c>
      <c r="J218" s="2" t="s">
        <v>869</v>
      </c>
      <c r="K218" s="2">
        <v>19</v>
      </c>
      <c r="L218" s="2" t="str">
        <f t="shared" si="12"/>
        <v>广东省</v>
      </c>
      <c r="M218" s="2" t="s">
        <v>870</v>
      </c>
      <c r="N218" s="4">
        <v>217</v>
      </c>
      <c r="O218" s="4" t="s">
        <v>871</v>
      </c>
      <c r="P218" s="4">
        <v>14</v>
      </c>
      <c r="Q218" s="4" t="str">
        <f t="shared" si="15"/>
        <v>太原市</v>
      </c>
      <c r="R218" s="4">
        <f t="shared" si="13"/>
        <v>4</v>
      </c>
      <c r="S218" s="4" t="str">
        <f t="shared" si="14"/>
        <v>山西省</v>
      </c>
    </row>
    <row r="219" spans="9:19">
      <c r="I219" s="2">
        <v>218</v>
      </c>
      <c r="J219" s="2" t="s">
        <v>872</v>
      </c>
      <c r="K219" s="2">
        <v>20</v>
      </c>
      <c r="L219" s="2" t="str">
        <f t="shared" si="12"/>
        <v>广西壮族自治区</v>
      </c>
      <c r="M219" s="2" t="s">
        <v>873</v>
      </c>
      <c r="N219" s="4">
        <v>218</v>
      </c>
      <c r="O219" s="4" t="s">
        <v>874</v>
      </c>
      <c r="P219" s="4">
        <v>14</v>
      </c>
      <c r="Q219" s="4" t="str">
        <f t="shared" si="15"/>
        <v>太原市</v>
      </c>
      <c r="R219" s="4">
        <f t="shared" si="13"/>
        <v>4</v>
      </c>
      <c r="S219" s="4" t="str">
        <f t="shared" si="14"/>
        <v>山西省</v>
      </c>
    </row>
    <row r="220" spans="9:19">
      <c r="I220" s="2">
        <v>219</v>
      </c>
      <c r="J220" s="2" t="s">
        <v>875</v>
      </c>
      <c r="K220" s="2">
        <v>20</v>
      </c>
      <c r="L220" s="2" t="str">
        <f t="shared" si="12"/>
        <v>广西壮族自治区</v>
      </c>
      <c r="M220" s="2" t="s">
        <v>876</v>
      </c>
      <c r="N220" s="4">
        <v>219</v>
      </c>
      <c r="O220" s="4" t="s">
        <v>877</v>
      </c>
      <c r="P220" s="4">
        <v>15</v>
      </c>
      <c r="Q220" s="4" t="str">
        <f t="shared" si="15"/>
        <v>大同市</v>
      </c>
      <c r="R220" s="4">
        <f t="shared" si="13"/>
        <v>4</v>
      </c>
      <c r="S220" s="4" t="str">
        <f t="shared" si="14"/>
        <v>山西省</v>
      </c>
    </row>
    <row r="221" spans="9:19">
      <c r="I221" s="2">
        <v>220</v>
      </c>
      <c r="J221" s="2" t="s">
        <v>878</v>
      </c>
      <c r="K221" s="2">
        <v>20</v>
      </c>
      <c r="L221" s="2" t="str">
        <f t="shared" si="12"/>
        <v>广西壮族自治区</v>
      </c>
      <c r="M221" s="2" t="s">
        <v>879</v>
      </c>
      <c r="N221" s="4">
        <v>220</v>
      </c>
      <c r="O221" s="4" t="s">
        <v>880</v>
      </c>
      <c r="P221" s="4">
        <v>15</v>
      </c>
      <c r="Q221" s="4" t="str">
        <f t="shared" si="15"/>
        <v>大同市</v>
      </c>
      <c r="R221" s="4">
        <f t="shared" si="13"/>
        <v>4</v>
      </c>
      <c r="S221" s="4" t="str">
        <f t="shared" si="14"/>
        <v>山西省</v>
      </c>
    </row>
    <row r="222" spans="9:19">
      <c r="I222" s="2">
        <v>221</v>
      </c>
      <c r="J222" s="2" t="s">
        <v>881</v>
      </c>
      <c r="K222" s="2">
        <v>20</v>
      </c>
      <c r="L222" s="2" t="str">
        <f t="shared" si="12"/>
        <v>广西壮族自治区</v>
      </c>
      <c r="M222" s="2" t="s">
        <v>882</v>
      </c>
      <c r="N222" s="4">
        <v>221</v>
      </c>
      <c r="O222" s="4" t="s">
        <v>883</v>
      </c>
      <c r="P222" s="4">
        <v>15</v>
      </c>
      <c r="Q222" s="4" t="str">
        <f t="shared" si="15"/>
        <v>大同市</v>
      </c>
      <c r="R222" s="4">
        <f t="shared" si="13"/>
        <v>4</v>
      </c>
      <c r="S222" s="4" t="str">
        <f t="shared" si="14"/>
        <v>山西省</v>
      </c>
    </row>
    <row r="223" spans="9:19">
      <c r="I223" s="2">
        <v>222</v>
      </c>
      <c r="J223" s="2" t="s">
        <v>884</v>
      </c>
      <c r="K223" s="2">
        <v>20</v>
      </c>
      <c r="L223" s="2" t="str">
        <f t="shared" si="12"/>
        <v>广西壮族自治区</v>
      </c>
      <c r="M223" s="2" t="s">
        <v>885</v>
      </c>
      <c r="N223" s="4">
        <v>222</v>
      </c>
      <c r="O223" s="4" t="s">
        <v>886</v>
      </c>
      <c r="P223" s="4">
        <v>15</v>
      </c>
      <c r="Q223" s="4" t="str">
        <f t="shared" si="15"/>
        <v>大同市</v>
      </c>
      <c r="R223" s="4">
        <f t="shared" si="13"/>
        <v>4</v>
      </c>
      <c r="S223" s="4" t="str">
        <f t="shared" si="14"/>
        <v>山西省</v>
      </c>
    </row>
    <row r="224" spans="9:19">
      <c r="I224" s="2">
        <v>223</v>
      </c>
      <c r="J224" s="2" t="s">
        <v>887</v>
      </c>
      <c r="K224" s="2">
        <v>20</v>
      </c>
      <c r="L224" s="2" t="str">
        <f t="shared" si="12"/>
        <v>广西壮族自治区</v>
      </c>
      <c r="M224" s="2" t="s">
        <v>888</v>
      </c>
      <c r="N224" s="4">
        <v>223</v>
      </c>
      <c r="O224" s="4" t="s">
        <v>889</v>
      </c>
      <c r="P224" s="4">
        <v>15</v>
      </c>
      <c r="Q224" s="4" t="str">
        <f t="shared" si="15"/>
        <v>大同市</v>
      </c>
      <c r="R224" s="4">
        <f t="shared" si="13"/>
        <v>4</v>
      </c>
      <c r="S224" s="4" t="str">
        <f t="shared" si="14"/>
        <v>山西省</v>
      </c>
    </row>
    <row r="225" spans="9:19">
      <c r="I225" s="2">
        <v>224</v>
      </c>
      <c r="J225" s="2" t="s">
        <v>890</v>
      </c>
      <c r="K225" s="2">
        <v>20</v>
      </c>
      <c r="L225" s="2" t="str">
        <f t="shared" si="12"/>
        <v>广西壮族自治区</v>
      </c>
      <c r="M225" s="2" t="s">
        <v>891</v>
      </c>
      <c r="N225" s="4">
        <v>224</v>
      </c>
      <c r="O225" s="4" t="s">
        <v>892</v>
      </c>
      <c r="P225" s="4">
        <v>15</v>
      </c>
      <c r="Q225" s="4" t="str">
        <f t="shared" si="15"/>
        <v>大同市</v>
      </c>
      <c r="R225" s="4">
        <f t="shared" si="13"/>
        <v>4</v>
      </c>
      <c r="S225" s="4" t="str">
        <f t="shared" si="14"/>
        <v>山西省</v>
      </c>
    </row>
    <row r="226" spans="9:19">
      <c r="I226" s="2">
        <v>225</v>
      </c>
      <c r="J226" s="2" t="s">
        <v>893</v>
      </c>
      <c r="K226" s="2">
        <v>20</v>
      </c>
      <c r="L226" s="2" t="str">
        <f t="shared" si="12"/>
        <v>广西壮族自治区</v>
      </c>
      <c r="M226" s="2" t="s">
        <v>894</v>
      </c>
      <c r="N226" s="4">
        <v>225</v>
      </c>
      <c r="O226" s="4" t="s">
        <v>895</v>
      </c>
      <c r="P226" s="4">
        <v>15</v>
      </c>
      <c r="Q226" s="4" t="str">
        <f t="shared" si="15"/>
        <v>大同市</v>
      </c>
      <c r="R226" s="4">
        <f t="shared" si="13"/>
        <v>4</v>
      </c>
      <c r="S226" s="4" t="str">
        <f t="shared" si="14"/>
        <v>山西省</v>
      </c>
    </row>
    <row r="227" spans="9:19">
      <c r="I227" s="2">
        <v>226</v>
      </c>
      <c r="J227" s="2" t="s">
        <v>896</v>
      </c>
      <c r="K227" s="2">
        <v>20</v>
      </c>
      <c r="L227" s="2" t="str">
        <f t="shared" si="12"/>
        <v>广西壮族自治区</v>
      </c>
      <c r="M227" s="2" t="s">
        <v>897</v>
      </c>
      <c r="N227" s="4">
        <v>226</v>
      </c>
      <c r="O227" s="4" t="s">
        <v>898</v>
      </c>
      <c r="P227" s="4">
        <v>15</v>
      </c>
      <c r="Q227" s="4" t="str">
        <f t="shared" si="15"/>
        <v>大同市</v>
      </c>
      <c r="R227" s="4">
        <f t="shared" si="13"/>
        <v>4</v>
      </c>
      <c r="S227" s="4" t="str">
        <f t="shared" si="14"/>
        <v>山西省</v>
      </c>
    </row>
    <row r="228" spans="9:19">
      <c r="I228" s="2">
        <v>227</v>
      </c>
      <c r="J228" s="2" t="s">
        <v>899</v>
      </c>
      <c r="K228" s="2">
        <v>20</v>
      </c>
      <c r="L228" s="2" t="str">
        <f t="shared" si="12"/>
        <v>广西壮族自治区</v>
      </c>
      <c r="M228" s="2" t="s">
        <v>900</v>
      </c>
      <c r="N228" s="4">
        <v>227</v>
      </c>
      <c r="O228" s="4" t="s">
        <v>901</v>
      </c>
      <c r="P228" s="4">
        <v>15</v>
      </c>
      <c r="Q228" s="4" t="str">
        <f t="shared" si="15"/>
        <v>大同市</v>
      </c>
      <c r="R228" s="4">
        <f t="shared" si="13"/>
        <v>4</v>
      </c>
      <c r="S228" s="4" t="str">
        <f t="shared" si="14"/>
        <v>山西省</v>
      </c>
    </row>
    <row r="229" spans="9:19">
      <c r="I229" s="2">
        <v>228</v>
      </c>
      <c r="J229" s="2" t="s">
        <v>902</v>
      </c>
      <c r="K229" s="2">
        <v>20</v>
      </c>
      <c r="L229" s="2" t="str">
        <f t="shared" si="12"/>
        <v>广西壮族自治区</v>
      </c>
      <c r="M229" s="2" t="s">
        <v>903</v>
      </c>
      <c r="N229" s="4">
        <v>228</v>
      </c>
      <c r="O229" s="4" t="s">
        <v>904</v>
      </c>
      <c r="P229" s="4">
        <v>15</v>
      </c>
      <c r="Q229" s="4" t="str">
        <f t="shared" si="15"/>
        <v>大同市</v>
      </c>
      <c r="R229" s="4">
        <f t="shared" si="13"/>
        <v>4</v>
      </c>
      <c r="S229" s="4" t="str">
        <f t="shared" si="14"/>
        <v>山西省</v>
      </c>
    </row>
    <row r="230" spans="9:19">
      <c r="I230" s="2">
        <v>229</v>
      </c>
      <c r="J230" s="2" t="s">
        <v>905</v>
      </c>
      <c r="K230" s="2">
        <v>20</v>
      </c>
      <c r="L230" s="2" t="str">
        <f t="shared" si="12"/>
        <v>广西壮族自治区</v>
      </c>
      <c r="M230" s="2" t="s">
        <v>906</v>
      </c>
      <c r="N230" s="4">
        <v>229</v>
      </c>
      <c r="O230" s="4" t="s">
        <v>907</v>
      </c>
      <c r="P230" s="4">
        <v>15</v>
      </c>
      <c r="Q230" s="4" t="str">
        <f t="shared" si="15"/>
        <v>大同市</v>
      </c>
      <c r="R230" s="4">
        <f t="shared" si="13"/>
        <v>4</v>
      </c>
      <c r="S230" s="4" t="str">
        <f t="shared" si="14"/>
        <v>山西省</v>
      </c>
    </row>
    <row r="231" spans="9:19">
      <c r="I231" s="2">
        <v>230</v>
      </c>
      <c r="J231" s="2" t="s">
        <v>908</v>
      </c>
      <c r="K231" s="2">
        <v>20</v>
      </c>
      <c r="L231" s="2" t="str">
        <f t="shared" si="12"/>
        <v>广西壮族自治区</v>
      </c>
      <c r="M231" s="2" t="s">
        <v>909</v>
      </c>
      <c r="N231" s="4">
        <v>230</v>
      </c>
      <c r="O231" s="4" t="s">
        <v>877</v>
      </c>
      <c r="P231" s="4">
        <v>16</v>
      </c>
      <c r="Q231" s="4" t="str">
        <f t="shared" si="15"/>
        <v>阳泉市</v>
      </c>
      <c r="R231" s="4">
        <f t="shared" si="13"/>
        <v>4</v>
      </c>
      <c r="S231" s="4" t="str">
        <f t="shared" si="14"/>
        <v>山西省</v>
      </c>
    </row>
    <row r="232" spans="9:19">
      <c r="I232" s="2">
        <v>231</v>
      </c>
      <c r="J232" s="2" t="s">
        <v>910</v>
      </c>
      <c r="K232" s="2">
        <v>20</v>
      </c>
      <c r="L232" s="2" t="str">
        <f t="shared" si="12"/>
        <v>广西壮族自治区</v>
      </c>
      <c r="M232" s="2" t="s">
        <v>911</v>
      </c>
      <c r="N232" s="4">
        <v>231</v>
      </c>
      <c r="O232" s="4" t="s">
        <v>880</v>
      </c>
      <c r="P232" s="4">
        <v>16</v>
      </c>
      <c r="Q232" s="4" t="str">
        <f t="shared" si="15"/>
        <v>阳泉市</v>
      </c>
      <c r="R232" s="4">
        <f t="shared" si="13"/>
        <v>4</v>
      </c>
      <c r="S232" s="4" t="str">
        <f t="shared" si="14"/>
        <v>山西省</v>
      </c>
    </row>
    <row r="233" spans="9:19">
      <c r="I233" s="2">
        <v>232</v>
      </c>
      <c r="J233" s="2" t="s">
        <v>912</v>
      </c>
      <c r="K233" s="2">
        <v>21</v>
      </c>
      <c r="L233" s="2" t="str">
        <f t="shared" si="12"/>
        <v>海南省</v>
      </c>
      <c r="M233" s="2" t="s">
        <v>913</v>
      </c>
      <c r="N233" s="4">
        <v>232</v>
      </c>
      <c r="O233" s="4" t="s">
        <v>914</v>
      </c>
      <c r="P233" s="4">
        <v>16</v>
      </c>
      <c r="Q233" s="4" t="str">
        <f t="shared" si="15"/>
        <v>阳泉市</v>
      </c>
      <c r="R233" s="4">
        <f t="shared" si="13"/>
        <v>4</v>
      </c>
      <c r="S233" s="4" t="str">
        <f t="shared" si="14"/>
        <v>山西省</v>
      </c>
    </row>
    <row r="234" spans="9:19">
      <c r="I234" s="2">
        <v>233</v>
      </c>
      <c r="J234" s="2" t="s">
        <v>915</v>
      </c>
      <c r="K234" s="2">
        <v>21</v>
      </c>
      <c r="L234" s="2" t="str">
        <f t="shared" si="12"/>
        <v>海南省</v>
      </c>
      <c r="M234" s="2" t="s">
        <v>916</v>
      </c>
      <c r="N234" s="4">
        <v>233</v>
      </c>
      <c r="O234" s="4" t="s">
        <v>917</v>
      </c>
      <c r="P234" s="4">
        <v>16</v>
      </c>
      <c r="Q234" s="4" t="str">
        <f t="shared" si="15"/>
        <v>阳泉市</v>
      </c>
      <c r="R234" s="4">
        <f t="shared" si="13"/>
        <v>4</v>
      </c>
      <c r="S234" s="4" t="str">
        <f t="shared" si="14"/>
        <v>山西省</v>
      </c>
    </row>
    <row r="235" spans="9:19">
      <c r="I235" s="2">
        <v>234</v>
      </c>
      <c r="J235" s="2" t="s">
        <v>246</v>
      </c>
      <c r="K235" s="2">
        <v>22</v>
      </c>
      <c r="L235" s="2" t="str">
        <f t="shared" si="12"/>
        <v>重庆市</v>
      </c>
      <c r="M235" s="2" t="s">
        <v>918</v>
      </c>
      <c r="N235" s="4">
        <v>234</v>
      </c>
      <c r="O235" s="4" t="s">
        <v>919</v>
      </c>
      <c r="P235" s="4">
        <v>16</v>
      </c>
      <c r="Q235" s="4" t="str">
        <f t="shared" si="15"/>
        <v>阳泉市</v>
      </c>
      <c r="R235" s="4">
        <f t="shared" si="13"/>
        <v>4</v>
      </c>
      <c r="S235" s="4" t="str">
        <f t="shared" si="14"/>
        <v>山西省</v>
      </c>
    </row>
    <row r="236" spans="9:19">
      <c r="I236" s="2">
        <v>235</v>
      </c>
      <c r="J236" s="2" t="s">
        <v>19</v>
      </c>
      <c r="K236" s="2">
        <v>23</v>
      </c>
      <c r="L236" s="2" t="str">
        <f t="shared" si="12"/>
        <v>四川省</v>
      </c>
      <c r="M236" s="2" t="s">
        <v>920</v>
      </c>
      <c r="N236" s="4">
        <v>235</v>
      </c>
      <c r="O236" s="4" t="s">
        <v>877</v>
      </c>
      <c r="P236" s="4">
        <v>17</v>
      </c>
      <c r="Q236" s="4" t="str">
        <f t="shared" si="15"/>
        <v>长治市</v>
      </c>
      <c r="R236" s="4">
        <f t="shared" si="13"/>
        <v>4</v>
      </c>
      <c r="S236" s="4" t="str">
        <f t="shared" si="14"/>
        <v>山西省</v>
      </c>
    </row>
    <row r="237" spans="9:19">
      <c r="I237" s="2">
        <v>236</v>
      </c>
      <c r="J237" s="2" t="s">
        <v>921</v>
      </c>
      <c r="K237" s="2">
        <v>23</v>
      </c>
      <c r="L237" s="2" t="str">
        <f t="shared" si="12"/>
        <v>四川省</v>
      </c>
      <c r="M237" s="2" t="s">
        <v>922</v>
      </c>
      <c r="N237" s="4">
        <v>236</v>
      </c>
      <c r="O237" s="4" t="s">
        <v>914</v>
      </c>
      <c r="P237" s="4">
        <v>17</v>
      </c>
      <c r="Q237" s="4" t="str">
        <f t="shared" si="15"/>
        <v>长治市</v>
      </c>
      <c r="R237" s="4">
        <f t="shared" si="13"/>
        <v>4</v>
      </c>
      <c r="S237" s="4" t="str">
        <f t="shared" si="14"/>
        <v>山西省</v>
      </c>
    </row>
    <row r="238" spans="9:19">
      <c r="I238" s="2">
        <v>237</v>
      </c>
      <c r="J238" s="2" t="s">
        <v>923</v>
      </c>
      <c r="K238" s="2">
        <v>23</v>
      </c>
      <c r="L238" s="2" t="str">
        <f t="shared" si="12"/>
        <v>四川省</v>
      </c>
      <c r="M238" s="2" t="s">
        <v>924</v>
      </c>
      <c r="N238" s="4">
        <v>237</v>
      </c>
      <c r="O238" s="4" t="s">
        <v>925</v>
      </c>
      <c r="P238" s="4">
        <v>17</v>
      </c>
      <c r="Q238" s="4" t="str">
        <f t="shared" si="15"/>
        <v>长治市</v>
      </c>
      <c r="R238" s="4">
        <f t="shared" si="13"/>
        <v>4</v>
      </c>
      <c r="S238" s="4" t="str">
        <f t="shared" si="14"/>
        <v>山西省</v>
      </c>
    </row>
    <row r="239" spans="9:19">
      <c r="I239" s="2">
        <v>238</v>
      </c>
      <c r="J239" s="2" t="s">
        <v>926</v>
      </c>
      <c r="K239" s="2">
        <v>23</v>
      </c>
      <c r="L239" s="2" t="str">
        <f t="shared" si="12"/>
        <v>四川省</v>
      </c>
      <c r="M239" s="2" t="s">
        <v>927</v>
      </c>
      <c r="N239" s="4">
        <v>238</v>
      </c>
      <c r="O239" s="4" t="s">
        <v>928</v>
      </c>
      <c r="P239" s="4">
        <v>17</v>
      </c>
      <c r="Q239" s="4" t="str">
        <f t="shared" si="15"/>
        <v>长治市</v>
      </c>
      <c r="R239" s="4">
        <f t="shared" si="13"/>
        <v>4</v>
      </c>
      <c r="S239" s="4" t="str">
        <f t="shared" si="14"/>
        <v>山西省</v>
      </c>
    </row>
    <row r="240" spans="9:19">
      <c r="I240" s="2">
        <v>239</v>
      </c>
      <c r="J240" s="2" t="s">
        <v>929</v>
      </c>
      <c r="K240" s="2">
        <v>23</v>
      </c>
      <c r="L240" s="2" t="str">
        <f t="shared" si="12"/>
        <v>四川省</v>
      </c>
      <c r="M240" s="2" t="s">
        <v>930</v>
      </c>
      <c r="N240" s="4">
        <v>239</v>
      </c>
      <c r="O240" s="4" t="s">
        <v>931</v>
      </c>
      <c r="P240" s="4">
        <v>17</v>
      </c>
      <c r="Q240" s="4" t="str">
        <f t="shared" si="15"/>
        <v>长治市</v>
      </c>
      <c r="R240" s="4">
        <f t="shared" si="13"/>
        <v>4</v>
      </c>
      <c r="S240" s="4" t="str">
        <f t="shared" si="14"/>
        <v>山西省</v>
      </c>
    </row>
    <row r="241" spans="9:19">
      <c r="I241" s="2">
        <v>240</v>
      </c>
      <c r="J241" s="2" t="s">
        <v>932</v>
      </c>
      <c r="K241" s="2">
        <v>23</v>
      </c>
      <c r="L241" s="2" t="str">
        <f t="shared" si="12"/>
        <v>四川省</v>
      </c>
      <c r="M241" s="2" t="s">
        <v>933</v>
      </c>
      <c r="N241" s="4">
        <v>240</v>
      </c>
      <c r="O241" s="4" t="s">
        <v>934</v>
      </c>
      <c r="P241" s="4">
        <v>17</v>
      </c>
      <c r="Q241" s="4" t="str">
        <f t="shared" si="15"/>
        <v>长治市</v>
      </c>
      <c r="R241" s="4">
        <f t="shared" si="13"/>
        <v>4</v>
      </c>
      <c r="S241" s="4" t="str">
        <f t="shared" si="14"/>
        <v>山西省</v>
      </c>
    </row>
    <row r="242" spans="9:19">
      <c r="I242" s="2">
        <v>241</v>
      </c>
      <c r="J242" s="2" t="s">
        <v>935</v>
      </c>
      <c r="K242" s="2">
        <v>23</v>
      </c>
      <c r="L242" s="2" t="str">
        <f t="shared" si="12"/>
        <v>四川省</v>
      </c>
      <c r="M242" s="2" t="s">
        <v>936</v>
      </c>
      <c r="N242" s="4">
        <v>241</v>
      </c>
      <c r="O242" s="4" t="s">
        <v>937</v>
      </c>
      <c r="P242" s="4">
        <v>17</v>
      </c>
      <c r="Q242" s="4" t="str">
        <f t="shared" si="15"/>
        <v>长治市</v>
      </c>
      <c r="R242" s="4">
        <f t="shared" si="13"/>
        <v>4</v>
      </c>
      <c r="S242" s="4" t="str">
        <f t="shared" si="14"/>
        <v>山西省</v>
      </c>
    </row>
    <row r="243" spans="9:19">
      <c r="I243" s="2">
        <v>242</v>
      </c>
      <c r="J243" s="2" t="s">
        <v>22</v>
      </c>
      <c r="K243" s="2">
        <v>23</v>
      </c>
      <c r="L243" s="2" t="str">
        <f t="shared" si="12"/>
        <v>四川省</v>
      </c>
      <c r="M243" s="2" t="s">
        <v>938</v>
      </c>
      <c r="N243" s="4">
        <v>242</v>
      </c>
      <c r="O243" s="4" t="s">
        <v>939</v>
      </c>
      <c r="P243" s="4">
        <v>17</v>
      </c>
      <c r="Q243" s="4" t="str">
        <f t="shared" si="15"/>
        <v>长治市</v>
      </c>
      <c r="R243" s="4">
        <f t="shared" si="13"/>
        <v>4</v>
      </c>
      <c r="S243" s="4" t="str">
        <f t="shared" si="14"/>
        <v>山西省</v>
      </c>
    </row>
    <row r="244" spans="9:19">
      <c r="I244" s="2">
        <v>243</v>
      </c>
      <c r="J244" s="2" t="s">
        <v>940</v>
      </c>
      <c r="K244" s="2">
        <v>23</v>
      </c>
      <c r="L244" s="2" t="str">
        <f t="shared" si="12"/>
        <v>四川省</v>
      </c>
      <c r="M244" s="2" t="s">
        <v>941</v>
      </c>
      <c r="N244" s="4">
        <v>243</v>
      </c>
      <c r="O244" s="4" t="s">
        <v>942</v>
      </c>
      <c r="P244" s="4">
        <v>17</v>
      </c>
      <c r="Q244" s="4" t="str">
        <f t="shared" si="15"/>
        <v>长治市</v>
      </c>
      <c r="R244" s="4">
        <f t="shared" si="13"/>
        <v>4</v>
      </c>
      <c r="S244" s="4" t="str">
        <f t="shared" si="14"/>
        <v>山西省</v>
      </c>
    </row>
    <row r="245" spans="9:19">
      <c r="I245" s="2">
        <v>244</v>
      </c>
      <c r="J245" s="2" t="s">
        <v>943</v>
      </c>
      <c r="K245" s="2">
        <v>23</v>
      </c>
      <c r="L245" s="2" t="str">
        <f t="shared" si="12"/>
        <v>四川省</v>
      </c>
      <c r="M245" s="2" t="s">
        <v>944</v>
      </c>
      <c r="N245" s="4">
        <v>244</v>
      </c>
      <c r="O245" s="4" t="s">
        <v>945</v>
      </c>
      <c r="P245" s="4">
        <v>17</v>
      </c>
      <c r="Q245" s="4" t="str">
        <f t="shared" si="15"/>
        <v>长治市</v>
      </c>
      <c r="R245" s="4">
        <f t="shared" si="13"/>
        <v>4</v>
      </c>
      <c r="S245" s="4" t="str">
        <f t="shared" si="14"/>
        <v>山西省</v>
      </c>
    </row>
    <row r="246" spans="9:19">
      <c r="I246" s="2">
        <v>245</v>
      </c>
      <c r="J246" s="2" t="s">
        <v>946</v>
      </c>
      <c r="K246" s="2">
        <v>23</v>
      </c>
      <c r="L246" s="2" t="str">
        <f t="shared" si="12"/>
        <v>四川省</v>
      </c>
      <c r="M246" s="2" t="s">
        <v>947</v>
      </c>
      <c r="N246" s="4">
        <v>245</v>
      </c>
      <c r="O246" s="4" t="s">
        <v>948</v>
      </c>
      <c r="P246" s="4">
        <v>17</v>
      </c>
      <c r="Q246" s="4" t="str">
        <f t="shared" si="15"/>
        <v>长治市</v>
      </c>
      <c r="R246" s="4">
        <f t="shared" si="13"/>
        <v>4</v>
      </c>
      <c r="S246" s="4" t="str">
        <f t="shared" si="14"/>
        <v>山西省</v>
      </c>
    </row>
    <row r="247" spans="9:19">
      <c r="I247" s="2">
        <v>246</v>
      </c>
      <c r="J247" s="2" t="s">
        <v>949</v>
      </c>
      <c r="K247" s="2">
        <v>23</v>
      </c>
      <c r="L247" s="2" t="str">
        <f t="shared" si="12"/>
        <v>四川省</v>
      </c>
      <c r="M247" s="2" t="s">
        <v>950</v>
      </c>
      <c r="N247" s="4">
        <v>246</v>
      </c>
      <c r="O247" s="4" t="s">
        <v>951</v>
      </c>
      <c r="P247" s="4">
        <v>17</v>
      </c>
      <c r="Q247" s="4" t="str">
        <f t="shared" si="15"/>
        <v>长治市</v>
      </c>
      <c r="R247" s="4">
        <f t="shared" si="13"/>
        <v>4</v>
      </c>
      <c r="S247" s="4" t="str">
        <f t="shared" si="14"/>
        <v>山西省</v>
      </c>
    </row>
    <row r="248" spans="9:19">
      <c r="I248" s="2">
        <v>247</v>
      </c>
      <c r="J248" s="2" t="s">
        <v>952</v>
      </c>
      <c r="K248" s="2">
        <v>23</v>
      </c>
      <c r="L248" s="2" t="str">
        <f t="shared" si="12"/>
        <v>四川省</v>
      </c>
      <c r="M248" s="2" t="s">
        <v>953</v>
      </c>
      <c r="N248" s="4">
        <v>247</v>
      </c>
      <c r="O248" s="4" t="s">
        <v>954</v>
      </c>
      <c r="P248" s="4">
        <v>17</v>
      </c>
      <c r="Q248" s="4" t="str">
        <f t="shared" si="15"/>
        <v>长治市</v>
      </c>
      <c r="R248" s="4">
        <f t="shared" si="13"/>
        <v>4</v>
      </c>
      <c r="S248" s="4" t="str">
        <f t="shared" si="14"/>
        <v>山西省</v>
      </c>
    </row>
    <row r="249" spans="9:19">
      <c r="I249" s="2">
        <v>248</v>
      </c>
      <c r="J249" s="2" t="s">
        <v>955</v>
      </c>
      <c r="K249" s="2">
        <v>23</v>
      </c>
      <c r="L249" s="2" t="str">
        <f t="shared" si="12"/>
        <v>四川省</v>
      </c>
      <c r="M249" s="2" t="s">
        <v>956</v>
      </c>
      <c r="N249" s="4">
        <v>248</v>
      </c>
      <c r="O249" s="4" t="s">
        <v>877</v>
      </c>
      <c r="P249" s="4">
        <v>18</v>
      </c>
      <c r="Q249" s="4" t="str">
        <f t="shared" si="15"/>
        <v>晋城市</v>
      </c>
      <c r="R249" s="4">
        <f t="shared" si="13"/>
        <v>4</v>
      </c>
      <c r="S249" s="4" t="str">
        <f t="shared" si="14"/>
        <v>山西省</v>
      </c>
    </row>
    <row r="250" spans="9:19">
      <c r="I250" s="2">
        <v>249</v>
      </c>
      <c r="J250" s="2" t="s">
        <v>957</v>
      </c>
      <c r="K250" s="2">
        <v>23</v>
      </c>
      <c r="L250" s="2" t="str">
        <f t="shared" si="12"/>
        <v>四川省</v>
      </c>
      <c r="M250" s="2" t="s">
        <v>958</v>
      </c>
      <c r="N250" s="4">
        <v>249</v>
      </c>
      <c r="O250" s="4" t="s">
        <v>959</v>
      </c>
      <c r="P250" s="4">
        <v>18</v>
      </c>
      <c r="Q250" s="4" t="str">
        <f t="shared" si="15"/>
        <v>晋城市</v>
      </c>
      <c r="R250" s="4">
        <f t="shared" si="13"/>
        <v>4</v>
      </c>
      <c r="S250" s="4" t="str">
        <f t="shared" si="14"/>
        <v>山西省</v>
      </c>
    </row>
    <row r="251" spans="9:19">
      <c r="I251" s="2">
        <v>250</v>
      </c>
      <c r="J251" s="2" t="s">
        <v>960</v>
      </c>
      <c r="K251" s="2">
        <v>23</v>
      </c>
      <c r="L251" s="2" t="str">
        <f t="shared" si="12"/>
        <v>四川省</v>
      </c>
      <c r="M251" s="2" t="s">
        <v>961</v>
      </c>
      <c r="N251" s="4">
        <v>250</v>
      </c>
      <c r="O251" s="4" t="s">
        <v>962</v>
      </c>
      <c r="P251" s="4">
        <v>18</v>
      </c>
      <c r="Q251" s="4" t="str">
        <f t="shared" si="15"/>
        <v>晋城市</v>
      </c>
      <c r="R251" s="4">
        <f t="shared" si="13"/>
        <v>4</v>
      </c>
      <c r="S251" s="4" t="str">
        <f t="shared" si="14"/>
        <v>山西省</v>
      </c>
    </row>
    <row r="252" spans="9:19">
      <c r="I252" s="2">
        <v>251</v>
      </c>
      <c r="J252" s="2" t="s">
        <v>963</v>
      </c>
      <c r="K252" s="2">
        <v>23</v>
      </c>
      <c r="L252" s="2" t="str">
        <f t="shared" si="12"/>
        <v>四川省</v>
      </c>
      <c r="M252" s="2" t="s">
        <v>964</v>
      </c>
      <c r="N252" s="4">
        <v>251</v>
      </c>
      <c r="O252" s="4" t="s">
        <v>965</v>
      </c>
      <c r="P252" s="4">
        <v>18</v>
      </c>
      <c r="Q252" s="4" t="str">
        <f t="shared" si="15"/>
        <v>晋城市</v>
      </c>
      <c r="R252" s="4">
        <f t="shared" si="13"/>
        <v>4</v>
      </c>
      <c r="S252" s="4" t="str">
        <f t="shared" si="14"/>
        <v>山西省</v>
      </c>
    </row>
    <row r="253" spans="9:19">
      <c r="I253" s="2">
        <v>252</v>
      </c>
      <c r="J253" s="2" t="s">
        <v>966</v>
      </c>
      <c r="K253" s="2">
        <v>23</v>
      </c>
      <c r="L253" s="2" t="str">
        <f t="shared" si="12"/>
        <v>四川省</v>
      </c>
      <c r="M253" s="2" t="s">
        <v>967</v>
      </c>
      <c r="N253" s="4">
        <v>252</v>
      </c>
      <c r="O253" s="4" t="s">
        <v>968</v>
      </c>
      <c r="P253" s="4">
        <v>18</v>
      </c>
      <c r="Q253" s="4" t="str">
        <f t="shared" si="15"/>
        <v>晋城市</v>
      </c>
      <c r="R253" s="4">
        <f t="shared" si="13"/>
        <v>4</v>
      </c>
      <c r="S253" s="4" t="str">
        <f t="shared" si="14"/>
        <v>山西省</v>
      </c>
    </row>
    <row r="254" spans="9:19">
      <c r="I254" s="2">
        <v>253</v>
      </c>
      <c r="J254" s="2" t="s">
        <v>969</v>
      </c>
      <c r="K254" s="2">
        <v>23</v>
      </c>
      <c r="L254" s="2" t="str">
        <f t="shared" si="12"/>
        <v>四川省</v>
      </c>
      <c r="M254" s="2" t="s">
        <v>970</v>
      </c>
      <c r="N254" s="4">
        <v>253</v>
      </c>
      <c r="O254" s="4" t="s">
        <v>971</v>
      </c>
      <c r="P254" s="4">
        <v>18</v>
      </c>
      <c r="Q254" s="4" t="str">
        <f t="shared" si="15"/>
        <v>晋城市</v>
      </c>
      <c r="R254" s="4">
        <f t="shared" si="13"/>
        <v>4</v>
      </c>
      <c r="S254" s="4" t="str">
        <f t="shared" si="14"/>
        <v>山西省</v>
      </c>
    </row>
    <row r="255" spans="9:19">
      <c r="I255" s="2">
        <v>254</v>
      </c>
      <c r="J255" s="2" t="s">
        <v>972</v>
      </c>
      <c r="K255" s="2">
        <v>23</v>
      </c>
      <c r="L255" s="2" t="str">
        <f t="shared" si="12"/>
        <v>四川省</v>
      </c>
      <c r="M255" s="2" t="s">
        <v>973</v>
      </c>
      <c r="N255" s="4">
        <v>254</v>
      </c>
      <c r="O255" s="4" t="s">
        <v>974</v>
      </c>
      <c r="P255" s="4">
        <v>19</v>
      </c>
      <c r="Q255" s="4" t="str">
        <f t="shared" si="15"/>
        <v>朔州市</v>
      </c>
      <c r="R255" s="4">
        <f t="shared" si="13"/>
        <v>4</v>
      </c>
      <c r="S255" s="4" t="str">
        <f t="shared" si="14"/>
        <v>山西省</v>
      </c>
    </row>
    <row r="256" spans="9:19">
      <c r="I256" s="2">
        <v>255</v>
      </c>
      <c r="J256" s="2" t="s">
        <v>975</v>
      </c>
      <c r="K256" s="2">
        <v>23</v>
      </c>
      <c r="L256" s="2" t="str">
        <f t="shared" si="12"/>
        <v>四川省</v>
      </c>
      <c r="M256" s="2" t="s">
        <v>976</v>
      </c>
      <c r="N256" s="4">
        <v>255</v>
      </c>
      <c r="O256" s="4" t="s">
        <v>977</v>
      </c>
      <c r="P256" s="4">
        <v>19</v>
      </c>
      <c r="Q256" s="4" t="str">
        <f t="shared" si="15"/>
        <v>朔州市</v>
      </c>
      <c r="R256" s="4">
        <f t="shared" si="13"/>
        <v>4</v>
      </c>
      <c r="S256" s="4" t="str">
        <f t="shared" si="14"/>
        <v>山西省</v>
      </c>
    </row>
    <row r="257" spans="9:19">
      <c r="I257" s="2">
        <v>256</v>
      </c>
      <c r="J257" s="2" t="s">
        <v>978</v>
      </c>
      <c r="K257" s="2">
        <v>24</v>
      </c>
      <c r="L257" s="2" t="str">
        <f t="shared" si="12"/>
        <v>贵州省</v>
      </c>
      <c r="M257" s="2" t="s">
        <v>979</v>
      </c>
      <c r="N257" s="4">
        <v>256</v>
      </c>
      <c r="O257" s="4" t="s">
        <v>980</v>
      </c>
      <c r="P257" s="4">
        <v>19</v>
      </c>
      <c r="Q257" s="4" t="str">
        <f t="shared" si="15"/>
        <v>朔州市</v>
      </c>
      <c r="R257" s="4">
        <f t="shared" si="13"/>
        <v>4</v>
      </c>
      <c r="S257" s="4" t="str">
        <f t="shared" si="14"/>
        <v>山西省</v>
      </c>
    </row>
    <row r="258" spans="9:19">
      <c r="I258" s="2">
        <v>257</v>
      </c>
      <c r="J258" s="2" t="s">
        <v>981</v>
      </c>
      <c r="K258" s="2">
        <v>24</v>
      </c>
      <c r="L258" s="2" t="str">
        <f t="shared" ref="L258:L321" si="16">VLOOKUP(K258,$G$2:$H$35,2,FALSE)</f>
        <v>贵州省</v>
      </c>
      <c r="M258" s="2" t="s">
        <v>982</v>
      </c>
      <c r="N258" s="4">
        <v>257</v>
      </c>
      <c r="O258" s="4" t="s">
        <v>983</v>
      </c>
      <c r="P258" s="4">
        <v>19</v>
      </c>
      <c r="Q258" s="4" t="str">
        <f t="shared" si="15"/>
        <v>朔州市</v>
      </c>
      <c r="R258" s="4">
        <f t="shared" ref="R258:R321" si="17">VLOOKUP(P258,$I$2:$M$346,3,FALSE)</f>
        <v>4</v>
      </c>
      <c r="S258" s="4" t="str">
        <f t="shared" ref="S258:S321" si="18">VLOOKUP(P258,$I$2:$M$346,4,FALSE)</f>
        <v>山西省</v>
      </c>
    </row>
    <row r="259" spans="9:19">
      <c r="I259" s="2">
        <v>258</v>
      </c>
      <c r="J259" s="2" t="s">
        <v>984</v>
      </c>
      <c r="K259" s="2">
        <v>24</v>
      </c>
      <c r="L259" s="2" t="str">
        <f t="shared" si="16"/>
        <v>贵州省</v>
      </c>
      <c r="M259" s="2" t="s">
        <v>985</v>
      </c>
      <c r="N259" s="4">
        <v>258</v>
      </c>
      <c r="O259" s="4" t="s">
        <v>986</v>
      </c>
      <c r="P259" s="4">
        <v>19</v>
      </c>
      <c r="Q259" s="4" t="str">
        <f t="shared" ref="Q259:Q322" si="19">VLOOKUP(P259,$I$2:$J$346,2,FALSE)</f>
        <v>朔州市</v>
      </c>
      <c r="R259" s="4">
        <f t="shared" si="17"/>
        <v>4</v>
      </c>
      <c r="S259" s="4" t="str">
        <f t="shared" si="18"/>
        <v>山西省</v>
      </c>
    </row>
    <row r="260" spans="9:19">
      <c r="I260" s="2">
        <v>259</v>
      </c>
      <c r="J260" s="2" t="s">
        <v>987</v>
      </c>
      <c r="K260" s="2">
        <v>24</v>
      </c>
      <c r="L260" s="2" t="str">
        <f t="shared" si="16"/>
        <v>贵州省</v>
      </c>
      <c r="M260" s="2" t="s">
        <v>988</v>
      </c>
      <c r="N260" s="4">
        <v>259</v>
      </c>
      <c r="O260" s="4" t="s">
        <v>989</v>
      </c>
      <c r="P260" s="4">
        <v>19</v>
      </c>
      <c r="Q260" s="4" t="str">
        <f t="shared" si="19"/>
        <v>朔州市</v>
      </c>
      <c r="R260" s="4">
        <f t="shared" si="17"/>
        <v>4</v>
      </c>
      <c r="S260" s="4" t="str">
        <f t="shared" si="18"/>
        <v>山西省</v>
      </c>
    </row>
    <row r="261" spans="9:19">
      <c r="I261" s="2">
        <v>260</v>
      </c>
      <c r="J261" s="2" t="s">
        <v>990</v>
      </c>
      <c r="K261" s="2">
        <v>24</v>
      </c>
      <c r="L261" s="2" t="str">
        <f t="shared" si="16"/>
        <v>贵州省</v>
      </c>
      <c r="M261" s="2" t="s">
        <v>991</v>
      </c>
      <c r="N261" s="4">
        <v>260</v>
      </c>
      <c r="O261" s="4" t="s">
        <v>992</v>
      </c>
      <c r="P261" s="4">
        <v>20</v>
      </c>
      <c r="Q261" s="4" t="str">
        <f t="shared" si="19"/>
        <v>晋中市</v>
      </c>
      <c r="R261" s="4">
        <f t="shared" si="17"/>
        <v>4</v>
      </c>
      <c r="S261" s="4" t="str">
        <f t="shared" si="18"/>
        <v>山西省</v>
      </c>
    </row>
    <row r="262" spans="9:19">
      <c r="I262" s="2">
        <v>261</v>
      </c>
      <c r="J262" s="2" t="s">
        <v>993</v>
      </c>
      <c r="K262" s="2">
        <v>24</v>
      </c>
      <c r="L262" s="2" t="str">
        <f t="shared" si="16"/>
        <v>贵州省</v>
      </c>
      <c r="M262" s="2" t="s">
        <v>994</v>
      </c>
      <c r="N262" s="4">
        <v>261</v>
      </c>
      <c r="O262" s="4" t="s">
        <v>995</v>
      </c>
      <c r="P262" s="4">
        <v>20</v>
      </c>
      <c r="Q262" s="4" t="str">
        <f t="shared" si="19"/>
        <v>晋中市</v>
      </c>
      <c r="R262" s="4">
        <f t="shared" si="17"/>
        <v>4</v>
      </c>
      <c r="S262" s="4" t="str">
        <f t="shared" si="18"/>
        <v>山西省</v>
      </c>
    </row>
    <row r="263" spans="9:19">
      <c r="I263" s="2">
        <v>262</v>
      </c>
      <c r="J263" s="2" t="s">
        <v>996</v>
      </c>
      <c r="K263" s="2">
        <v>24</v>
      </c>
      <c r="L263" s="2" t="str">
        <f t="shared" si="16"/>
        <v>贵州省</v>
      </c>
      <c r="M263" s="2" t="s">
        <v>997</v>
      </c>
      <c r="N263" s="4">
        <v>262</v>
      </c>
      <c r="O263" s="4" t="s">
        <v>998</v>
      </c>
      <c r="P263" s="4">
        <v>20</v>
      </c>
      <c r="Q263" s="4" t="str">
        <f t="shared" si="19"/>
        <v>晋中市</v>
      </c>
      <c r="R263" s="4">
        <f t="shared" si="17"/>
        <v>4</v>
      </c>
      <c r="S263" s="4" t="str">
        <f t="shared" si="18"/>
        <v>山西省</v>
      </c>
    </row>
    <row r="264" spans="9:19">
      <c r="I264" s="2">
        <v>263</v>
      </c>
      <c r="J264" s="2" t="s">
        <v>999</v>
      </c>
      <c r="K264" s="2">
        <v>24</v>
      </c>
      <c r="L264" s="2" t="str">
        <f t="shared" si="16"/>
        <v>贵州省</v>
      </c>
      <c r="M264" s="2" t="s">
        <v>994</v>
      </c>
      <c r="N264" s="4">
        <v>263</v>
      </c>
      <c r="O264" s="4" t="s">
        <v>1000</v>
      </c>
      <c r="P264" s="4">
        <v>20</v>
      </c>
      <c r="Q264" s="4" t="str">
        <f t="shared" si="19"/>
        <v>晋中市</v>
      </c>
      <c r="R264" s="4">
        <f t="shared" si="17"/>
        <v>4</v>
      </c>
      <c r="S264" s="4" t="str">
        <f t="shared" si="18"/>
        <v>山西省</v>
      </c>
    </row>
    <row r="265" spans="9:19">
      <c r="I265" s="2">
        <v>264</v>
      </c>
      <c r="J265" s="2" t="s">
        <v>1001</v>
      </c>
      <c r="K265" s="2">
        <v>24</v>
      </c>
      <c r="L265" s="2" t="str">
        <f t="shared" si="16"/>
        <v>贵州省</v>
      </c>
      <c r="M265" s="2" t="s">
        <v>1002</v>
      </c>
      <c r="N265" s="4">
        <v>264</v>
      </c>
      <c r="O265" s="4" t="s">
        <v>1003</v>
      </c>
      <c r="P265" s="4">
        <v>20</v>
      </c>
      <c r="Q265" s="4" t="str">
        <f t="shared" si="19"/>
        <v>晋中市</v>
      </c>
      <c r="R265" s="4">
        <f t="shared" si="17"/>
        <v>4</v>
      </c>
      <c r="S265" s="4" t="str">
        <f t="shared" si="18"/>
        <v>山西省</v>
      </c>
    </row>
    <row r="266" spans="9:19">
      <c r="I266" s="2">
        <v>265</v>
      </c>
      <c r="J266" s="2" t="s">
        <v>1004</v>
      </c>
      <c r="K266" s="2">
        <v>25</v>
      </c>
      <c r="L266" s="2" t="str">
        <f t="shared" si="16"/>
        <v>云南省</v>
      </c>
      <c r="M266" s="2" t="s">
        <v>1005</v>
      </c>
      <c r="N266" s="4">
        <v>265</v>
      </c>
      <c r="O266" s="4" t="s">
        <v>1006</v>
      </c>
      <c r="P266" s="4">
        <v>20</v>
      </c>
      <c r="Q266" s="4" t="str">
        <f t="shared" si="19"/>
        <v>晋中市</v>
      </c>
      <c r="R266" s="4">
        <f t="shared" si="17"/>
        <v>4</v>
      </c>
      <c r="S266" s="4" t="str">
        <f t="shared" si="18"/>
        <v>山西省</v>
      </c>
    </row>
    <row r="267" spans="9:19">
      <c r="I267" s="2">
        <v>266</v>
      </c>
      <c r="J267" s="2" t="s">
        <v>1007</v>
      </c>
      <c r="K267" s="2">
        <v>25</v>
      </c>
      <c r="L267" s="2" t="str">
        <f t="shared" si="16"/>
        <v>云南省</v>
      </c>
      <c r="M267" s="2" t="s">
        <v>1008</v>
      </c>
      <c r="N267" s="4">
        <v>266</v>
      </c>
      <c r="O267" s="4" t="s">
        <v>1009</v>
      </c>
      <c r="P267" s="4">
        <v>20</v>
      </c>
      <c r="Q267" s="4" t="str">
        <f t="shared" si="19"/>
        <v>晋中市</v>
      </c>
      <c r="R267" s="4">
        <f t="shared" si="17"/>
        <v>4</v>
      </c>
      <c r="S267" s="4" t="str">
        <f t="shared" si="18"/>
        <v>山西省</v>
      </c>
    </row>
    <row r="268" spans="9:19">
      <c r="I268" s="2">
        <v>267</v>
      </c>
      <c r="J268" s="2" t="s">
        <v>1010</v>
      </c>
      <c r="K268" s="2">
        <v>25</v>
      </c>
      <c r="L268" s="2" t="str">
        <f t="shared" si="16"/>
        <v>云南省</v>
      </c>
      <c r="M268" s="2" t="s">
        <v>1011</v>
      </c>
      <c r="N268" s="4">
        <v>267</v>
      </c>
      <c r="O268" s="4" t="s">
        <v>1012</v>
      </c>
      <c r="P268" s="4">
        <v>20</v>
      </c>
      <c r="Q268" s="4" t="str">
        <f t="shared" si="19"/>
        <v>晋中市</v>
      </c>
      <c r="R268" s="4">
        <f t="shared" si="17"/>
        <v>4</v>
      </c>
      <c r="S268" s="4" t="str">
        <f t="shared" si="18"/>
        <v>山西省</v>
      </c>
    </row>
    <row r="269" spans="9:19">
      <c r="I269" s="2">
        <v>268</v>
      </c>
      <c r="J269" s="2" t="s">
        <v>1013</v>
      </c>
      <c r="K269" s="2">
        <v>25</v>
      </c>
      <c r="L269" s="2" t="str">
        <f t="shared" si="16"/>
        <v>云南省</v>
      </c>
      <c r="M269" s="2" t="s">
        <v>1014</v>
      </c>
      <c r="N269" s="4">
        <v>268</v>
      </c>
      <c r="O269" s="4" t="s">
        <v>1015</v>
      </c>
      <c r="P269" s="4">
        <v>20</v>
      </c>
      <c r="Q269" s="4" t="str">
        <f t="shared" si="19"/>
        <v>晋中市</v>
      </c>
      <c r="R269" s="4">
        <f t="shared" si="17"/>
        <v>4</v>
      </c>
      <c r="S269" s="4" t="str">
        <f t="shared" si="18"/>
        <v>山西省</v>
      </c>
    </row>
    <row r="270" spans="9:19">
      <c r="I270" s="2">
        <v>269</v>
      </c>
      <c r="J270" s="2" t="s">
        <v>1016</v>
      </c>
      <c r="K270" s="2">
        <v>25</v>
      </c>
      <c r="L270" s="2" t="str">
        <f t="shared" si="16"/>
        <v>云南省</v>
      </c>
      <c r="M270" s="2" t="s">
        <v>1017</v>
      </c>
      <c r="N270" s="4">
        <v>269</v>
      </c>
      <c r="O270" s="4" t="s">
        <v>1018</v>
      </c>
      <c r="P270" s="4">
        <v>20</v>
      </c>
      <c r="Q270" s="4" t="str">
        <f t="shared" si="19"/>
        <v>晋中市</v>
      </c>
      <c r="R270" s="4">
        <f t="shared" si="17"/>
        <v>4</v>
      </c>
      <c r="S270" s="4" t="str">
        <f t="shared" si="18"/>
        <v>山西省</v>
      </c>
    </row>
    <row r="271" spans="9:19">
      <c r="I271" s="2">
        <v>270</v>
      </c>
      <c r="J271" s="2" t="s">
        <v>1019</v>
      </c>
      <c r="K271" s="2">
        <v>25</v>
      </c>
      <c r="L271" s="2" t="str">
        <f t="shared" si="16"/>
        <v>云南省</v>
      </c>
      <c r="M271" s="2" t="s">
        <v>1020</v>
      </c>
      <c r="N271" s="4">
        <v>270</v>
      </c>
      <c r="O271" s="4" t="s">
        <v>1021</v>
      </c>
      <c r="P271" s="4">
        <v>20</v>
      </c>
      <c r="Q271" s="4" t="str">
        <f t="shared" si="19"/>
        <v>晋中市</v>
      </c>
      <c r="R271" s="4">
        <f t="shared" si="17"/>
        <v>4</v>
      </c>
      <c r="S271" s="4" t="str">
        <f t="shared" si="18"/>
        <v>山西省</v>
      </c>
    </row>
    <row r="272" spans="9:19">
      <c r="I272" s="2">
        <v>271</v>
      </c>
      <c r="J272" s="2" t="s">
        <v>1022</v>
      </c>
      <c r="K272" s="2">
        <v>25</v>
      </c>
      <c r="L272" s="2" t="str">
        <f t="shared" si="16"/>
        <v>云南省</v>
      </c>
      <c r="M272" s="2" t="s">
        <v>1023</v>
      </c>
      <c r="N272" s="4">
        <v>271</v>
      </c>
      <c r="O272" s="4" t="s">
        <v>1024</v>
      </c>
      <c r="P272" s="4">
        <v>21</v>
      </c>
      <c r="Q272" s="4" t="str">
        <f t="shared" si="19"/>
        <v>运城市</v>
      </c>
      <c r="R272" s="4">
        <f t="shared" si="17"/>
        <v>4</v>
      </c>
      <c r="S272" s="4" t="str">
        <f t="shared" si="18"/>
        <v>山西省</v>
      </c>
    </row>
    <row r="273" spans="9:19">
      <c r="I273" s="2">
        <v>272</v>
      </c>
      <c r="J273" s="2" t="s">
        <v>1025</v>
      </c>
      <c r="K273" s="2">
        <v>25</v>
      </c>
      <c r="L273" s="2" t="str">
        <f t="shared" si="16"/>
        <v>云南省</v>
      </c>
      <c r="M273" s="2" t="s">
        <v>1026</v>
      </c>
      <c r="N273" s="4">
        <v>272</v>
      </c>
      <c r="O273" s="4" t="s">
        <v>1027</v>
      </c>
      <c r="P273" s="4">
        <v>21</v>
      </c>
      <c r="Q273" s="4" t="str">
        <f t="shared" si="19"/>
        <v>运城市</v>
      </c>
      <c r="R273" s="4">
        <f t="shared" si="17"/>
        <v>4</v>
      </c>
      <c r="S273" s="4" t="str">
        <f t="shared" si="18"/>
        <v>山西省</v>
      </c>
    </row>
    <row r="274" spans="9:19">
      <c r="I274" s="2">
        <v>273</v>
      </c>
      <c r="J274" s="2" t="s">
        <v>1028</v>
      </c>
      <c r="K274" s="2">
        <v>25</v>
      </c>
      <c r="L274" s="2" t="str">
        <f t="shared" si="16"/>
        <v>云南省</v>
      </c>
      <c r="M274" s="2" t="s">
        <v>1029</v>
      </c>
      <c r="N274" s="4">
        <v>273</v>
      </c>
      <c r="O274" s="4" t="s">
        <v>1030</v>
      </c>
      <c r="P274" s="4">
        <v>21</v>
      </c>
      <c r="Q274" s="4" t="str">
        <f t="shared" si="19"/>
        <v>运城市</v>
      </c>
      <c r="R274" s="4">
        <f t="shared" si="17"/>
        <v>4</v>
      </c>
      <c r="S274" s="4" t="str">
        <f t="shared" si="18"/>
        <v>山西省</v>
      </c>
    </row>
    <row r="275" spans="9:19">
      <c r="I275" s="2">
        <v>274</v>
      </c>
      <c r="J275" s="2" t="s">
        <v>1031</v>
      </c>
      <c r="K275" s="2">
        <v>25</v>
      </c>
      <c r="L275" s="2" t="str">
        <f t="shared" si="16"/>
        <v>云南省</v>
      </c>
      <c r="M275" s="2" t="s">
        <v>1032</v>
      </c>
      <c r="N275" s="4">
        <v>274</v>
      </c>
      <c r="O275" s="4" t="s">
        <v>1033</v>
      </c>
      <c r="P275" s="4">
        <v>21</v>
      </c>
      <c r="Q275" s="4" t="str">
        <f t="shared" si="19"/>
        <v>运城市</v>
      </c>
      <c r="R275" s="4">
        <f t="shared" si="17"/>
        <v>4</v>
      </c>
      <c r="S275" s="4" t="str">
        <f t="shared" si="18"/>
        <v>山西省</v>
      </c>
    </row>
    <row r="276" spans="9:19">
      <c r="I276" s="2">
        <v>275</v>
      </c>
      <c r="J276" s="2" t="s">
        <v>1034</v>
      </c>
      <c r="K276" s="2">
        <v>25</v>
      </c>
      <c r="L276" s="2" t="str">
        <f t="shared" si="16"/>
        <v>云南省</v>
      </c>
      <c r="M276" s="2" t="s">
        <v>1035</v>
      </c>
      <c r="N276" s="4">
        <v>275</v>
      </c>
      <c r="O276" s="4" t="s">
        <v>1036</v>
      </c>
      <c r="P276" s="4">
        <v>21</v>
      </c>
      <c r="Q276" s="4" t="str">
        <f t="shared" si="19"/>
        <v>运城市</v>
      </c>
      <c r="R276" s="4">
        <f t="shared" si="17"/>
        <v>4</v>
      </c>
      <c r="S276" s="4" t="str">
        <f t="shared" si="18"/>
        <v>山西省</v>
      </c>
    </row>
    <row r="277" spans="9:19">
      <c r="I277" s="2">
        <v>276</v>
      </c>
      <c r="J277" s="2" t="s">
        <v>1037</v>
      </c>
      <c r="K277" s="2">
        <v>25</v>
      </c>
      <c r="L277" s="2" t="str">
        <f t="shared" si="16"/>
        <v>云南省</v>
      </c>
      <c r="M277" s="2" t="s">
        <v>1038</v>
      </c>
      <c r="N277" s="4">
        <v>276</v>
      </c>
      <c r="O277" s="4" t="s">
        <v>1039</v>
      </c>
      <c r="P277" s="4">
        <v>21</v>
      </c>
      <c r="Q277" s="4" t="str">
        <f t="shared" si="19"/>
        <v>运城市</v>
      </c>
      <c r="R277" s="4">
        <f t="shared" si="17"/>
        <v>4</v>
      </c>
      <c r="S277" s="4" t="str">
        <f t="shared" si="18"/>
        <v>山西省</v>
      </c>
    </row>
    <row r="278" spans="9:19">
      <c r="I278" s="2">
        <v>277</v>
      </c>
      <c r="J278" s="2" t="s">
        <v>1040</v>
      </c>
      <c r="K278" s="2">
        <v>25</v>
      </c>
      <c r="L278" s="2" t="str">
        <f t="shared" si="16"/>
        <v>云南省</v>
      </c>
      <c r="M278" s="2" t="s">
        <v>1041</v>
      </c>
      <c r="N278" s="4">
        <v>277</v>
      </c>
      <c r="O278" s="4" t="s">
        <v>1042</v>
      </c>
      <c r="P278" s="4">
        <v>21</v>
      </c>
      <c r="Q278" s="4" t="str">
        <f t="shared" si="19"/>
        <v>运城市</v>
      </c>
      <c r="R278" s="4">
        <f t="shared" si="17"/>
        <v>4</v>
      </c>
      <c r="S278" s="4" t="str">
        <f t="shared" si="18"/>
        <v>山西省</v>
      </c>
    </row>
    <row r="279" spans="9:19">
      <c r="I279" s="2">
        <v>278</v>
      </c>
      <c r="J279" s="2" t="s">
        <v>1043</v>
      </c>
      <c r="K279" s="2">
        <v>25</v>
      </c>
      <c r="L279" s="2" t="str">
        <f t="shared" si="16"/>
        <v>云南省</v>
      </c>
      <c r="M279" s="2" t="s">
        <v>1044</v>
      </c>
      <c r="N279" s="4">
        <v>278</v>
      </c>
      <c r="O279" s="4" t="s">
        <v>1045</v>
      </c>
      <c r="P279" s="4">
        <v>21</v>
      </c>
      <c r="Q279" s="4" t="str">
        <f t="shared" si="19"/>
        <v>运城市</v>
      </c>
      <c r="R279" s="4">
        <f t="shared" si="17"/>
        <v>4</v>
      </c>
      <c r="S279" s="4" t="str">
        <f t="shared" si="18"/>
        <v>山西省</v>
      </c>
    </row>
    <row r="280" spans="9:19">
      <c r="I280" s="2">
        <v>279</v>
      </c>
      <c r="J280" s="2" t="s">
        <v>1046</v>
      </c>
      <c r="K280" s="2">
        <v>25</v>
      </c>
      <c r="L280" s="2" t="str">
        <f t="shared" si="16"/>
        <v>云南省</v>
      </c>
      <c r="M280" s="2" t="s">
        <v>1047</v>
      </c>
      <c r="N280" s="4">
        <v>279</v>
      </c>
      <c r="O280" s="4" t="s">
        <v>1048</v>
      </c>
      <c r="P280" s="4">
        <v>21</v>
      </c>
      <c r="Q280" s="4" t="str">
        <f t="shared" si="19"/>
        <v>运城市</v>
      </c>
      <c r="R280" s="4">
        <f t="shared" si="17"/>
        <v>4</v>
      </c>
      <c r="S280" s="4" t="str">
        <f t="shared" si="18"/>
        <v>山西省</v>
      </c>
    </row>
    <row r="281" spans="9:19">
      <c r="I281" s="2">
        <v>280</v>
      </c>
      <c r="J281" s="2" t="s">
        <v>1049</v>
      </c>
      <c r="K281" s="2">
        <v>25</v>
      </c>
      <c r="L281" s="2" t="str">
        <f t="shared" si="16"/>
        <v>云南省</v>
      </c>
      <c r="M281" s="2" t="s">
        <v>1050</v>
      </c>
      <c r="N281" s="4">
        <v>280</v>
      </c>
      <c r="O281" s="4" t="s">
        <v>1051</v>
      </c>
      <c r="P281" s="4">
        <v>21</v>
      </c>
      <c r="Q281" s="4" t="str">
        <f t="shared" si="19"/>
        <v>运城市</v>
      </c>
      <c r="R281" s="4">
        <f t="shared" si="17"/>
        <v>4</v>
      </c>
      <c r="S281" s="4" t="str">
        <f t="shared" si="18"/>
        <v>山西省</v>
      </c>
    </row>
    <row r="282" spans="9:19">
      <c r="I282" s="2">
        <v>281</v>
      </c>
      <c r="J282" s="2" t="s">
        <v>1052</v>
      </c>
      <c r="K282" s="2">
        <v>26</v>
      </c>
      <c r="L282" s="2" t="str">
        <f t="shared" si="16"/>
        <v>西藏自治区</v>
      </c>
      <c r="M282" s="2" t="s">
        <v>1053</v>
      </c>
      <c r="N282" s="4">
        <v>281</v>
      </c>
      <c r="O282" s="4" t="s">
        <v>1054</v>
      </c>
      <c r="P282" s="4">
        <v>21</v>
      </c>
      <c r="Q282" s="4" t="str">
        <f t="shared" si="19"/>
        <v>运城市</v>
      </c>
      <c r="R282" s="4">
        <f t="shared" si="17"/>
        <v>4</v>
      </c>
      <c r="S282" s="4" t="str">
        <f t="shared" si="18"/>
        <v>山西省</v>
      </c>
    </row>
    <row r="283" spans="9:19">
      <c r="I283" s="2">
        <v>282</v>
      </c>
      <c r="J283" s="2" t="s">
        <v>1055</v>
      </c>
      <c r="K283" s="2">
        <v>26</v>
      </c>
      <c r="L283" s="2" t="str">
        <f t="shared" si="16"/>
        <v>西藏自治区</v>
      </c>
      <c r="M283" s="2" t="s">
        <v>1056</v>
      </c>
      <c r="N283" s="4">
        <v>282</v>
      </c>
      <c r="O283" s="4" t="s">
        <v>1057</v>
      </c>
      <c r="P283" s="4">
        <v>21</v>
      </c>
      <c r="Q283" s="4" t="str">
        <f t="shared" si="19"/>
        <v>运城市</v>
      </c>
      <c r="R283" s="4">
        <f t="shared" si="17"/>
        <v>4</v>
      </c>
      <c r="S283" s="4" t="str">
        <f t="shared" si="18"/>
        <v>山西省</v>
      </c>
    </row>
    <row r="284" spans="9:19">
      <c r="I284" s="2">
        <v>283</v>
      </c>
      <c r="J284" s="2" t="s">
        <v>1058</v>
      </c>
      <c r="K284" s="2">
        <v>26</v>
      </c>
      <c r="L284" s="2" t="str">
        <f t="shared" si="16"/>
        <v>西藏自治区</v>
      </c>
      <c r="M284" s="2" t="s">
        <v>1059</v>
      </c>
      <c r="N284" s="4">
        <v>283</v>
      </c>
      <c r="O284" s="4" t="s">
        <v>1060</v>
      </c>
      <c r="P284" s="4">
        <v>21</v>
      </c>
      <c r="Q284" s="4" t="str">
        <f t="shared" si="19"/>
        <v>运城市</v>
      </c>
      <c r="R284" s="4">
        <f t="shared" si="17"/>
        <v>4</v>
      </c>
      <c r="S284" s="4" t="str">
        <f t="shared" si="18"/>
        <v>山西省</v>
      </c>
    </row>
    <row r="285" spans="9:19">
      <c r="I285" s="2">
        <v>284</v>
      </c>
      <c r="J285" s="2" t="s">
        <v>1061</v>
      </c>
      <c r="K285" s="2">
        <v>26</v>
      </c>
      <c r="L285" s="2" t="str">
        <f t="shared" si="16"/>
        <v>西藏自治区</v>
      </c>
      <c r="M285" s="2" t="s">
        <v>1062</v>
      </c>
      <c r="N285" s="4">
        <v>284</v>
      </c>
      <c r="O285" s="4" t="s">
        <v>1063</v>
      </c>
      <c r="P285" s="4">
        <v>22</v>
      </c>
      <c r="Q285" s="4" t="str">
        <f t="shared" si="19"/>
        <v>忻州市</v>
      </c>
      <c r="R285" s="4">
        <f t="shared" si="17"/>
        <v>4</v>
      </c>
      <c r="S285" s="4" t="str">
        <f t="shared" si="18"/>
        <v>山西省</v>
      </c>
    </row>
    <row r="286" spans="9:19">
      <c r="I286" s="2">
        <v>285</v>
      </c>
      <c r="J286" s="2" t="s">
        <v>1064</v>
      </c>
      <c r="K286" s="2">
        <v>26</v>
      </c>
      <c r="L286" s="2" t="str">
        <f t="shared" si="16"/>
        <v>西藏自治区</v>
      </c>
      <c r="M286" s="2" t="s">
        <v>1065</v>
      </c>
      <c r="N286" s="4">
        <v>285</v>
      </c>
      <c r="O286" s="4" t="s">
        <v>1066</v>
      </c>
      <c r="P286" s="4">
        <v>22</v>
      </c>
      <c r="Q286" s="4" t="str">
        <f t="shared" si="19"/>
        <v>忻州市</v>
      </c>
      <c r="R286" s="4">
        <f t="shared" si="17"/>
        <v>4</v>
      </c>
      <c r="S286" s="4" t="str">
        <f t="shared" si="18"/>
        <v>山西省</v>
      </c>
    </row>
    <row r="287" spans="9:19">
      <c r="I287" s="2">
        <v>286</v>
      </c>
      <c r="J287" s="2" t="s">
        <v>1067</v>
      </c>
      <c r="K287" s="2">
        <v>26</v>
      </c>
      <c r="L287" s="2" t="str">
        <f t="shared" si="16"/>
        <v>西藏自治区</v>
      </c>
      <c r="M287" s="2" t="s">
        <v>1068</v>
      </c>
      <c r="N287" s="4">
        <v>286</v>
      </c>
      <c r="O287" s="4" t="s">
        <v>1069</v>
      </c>
      <c r="P287" s="4">
        <v>22</v>
      </c>
      <c r="Q287" s="4" t="str">
        <f t="shared" si="19"/>
        <v>忻州市</v>
      </c>
      <c r="R287" s="4">
        <f t="shared" si="17"/>
        <v>4</v>
      </c>
      <c r="S287" s="4" t="str">
        <f t="shared" si="18"/>
        <v>山西省</v>
      </c>
    </row>
    <row r="288" spans="9:19">
      <c r="I288" s="2">
        <v>287</v>
      </c>
      <c r="J288" s="2" t="s">
        <v>1070</v>
      </c>
      <c r="K288" s="2">
        <v>26</v>
      </c>
      <c r="L288" s="2" t="str">
        <f t="shared" si="16"/>
        <v>西藏自治区</v>
      </c>
      <c r="M288" s="2" t="s">
        <v>1071</v>
      </c>
      <c r="N288" s="4">
        <v>287</v>
      </c>
      <c r="O288" s="4" t="s">
        <v>1072</v>
      </c>
      <c r="P288" s="4">
        <v>22</v>
      </c>
      <c r="Q288" s="4" t="str">
        <f t="shared" si="19"/>
        <v>忻州市</v>
      </c>
      <c r="R288" s="4">
        <f t="shared" si="17"/>
        <v>4</v>
      </c>
      <c r="S288" s="4" t="str">
        <f t="shared" si="18"/>
        <v>山西省</v>
      </c>
    </row>
    <row r="289" spans="9:19">
      <c r="I289" s="2">
        <v>288</v>
      </c>
      <c r="J289" s="2" t="s">
        <v>1073</v>
      </c>
      <c r="K289" s="2">
        <v>27</v>
      </c>
      <c r="L289" s="2" t="str">
        <f t="shared" si="16"/>
        <v>陕西省</v>
      </c>
      <c r="M289" s="2" t="s">
        <v>1074</v>
      </c>
      <c r="N289" s="4">
        <v>288</v>
      </c>
      <c r="O289" s="4" t="s">
        <v>1075</v>
      </c>
      <c r="P289" s="4">
        <v>22</v>
      </c>
      <c r="Q289" s="4" t="str">
        <f t="shared" si="19"/>
        <v>忻州市</v>
      </c>
      <c r="R289" s="4">
        <f t="shared" si="17"/>
        <v>4</v>
      </c>
      <c r="S289" s="4" t="str">
        <f t="shared" si="18"/>
        <v>山西省</v>
      </c>
    </row>
    <row r="290" spans="9:19">
      <c r="I290" s="2">
        <v>289</v>
      </c>
      <c r="J290" s="2" t="s">
        <v>1076</v>
      </c>
      <c r="K290" s="2">
        <v>27</v>
      </c>
      <c r="L290" s="2" t="str">
        <f t="shared" si="16"/>
        <v>陕西省</v>
      </c>
      <c r="M290" s="2" t="s">
        <v>1077</v>
      </c>
      <c r="N290" s="4">
        <v>289</v>
      </c>
      <c r="O290" s="4" t="s">
        <v>1078</v>
      </c>
      <c r="P290" s="4">
        <v>22</v>
      </c>
      <c r="Q290" s="4" t="str">
        <f t="shared" si="19"/>
        <v>忻州市</v>
      </c>
      <c r="R290" s="4">
        <f t="shared" si="17"/>
        <v>4</v>
      </c>
      <c r="S290" s="4" t="str">
        <f t="shared" si="18"/>
        <v>山西省</v>
      </c>
    </row>
    <row r="291" spans="9:19">
      <c r="I291" s="2">
        <v>290</v>
      </c>
      <c r="J291" s="2" t="s">
        <v>1079</v>
      </c>
      <c r="K291" s="2">
        <v>27</v>
      </c>
      <c r="L291" s="2" t="str">
        <f t="shared" si="16"/>
        <v>陕西省</v>
      </c>
      <c r="M291" s="2" t="s">
        <v>1080</v>
      </c>
      <c r="N291" s="4">
        <v>290</v>
      </c>
      <c r="O291" s="4" t="s">
        <v>1081</v>
      </c>
      <c r="P291" s="4">
        <v>22</v>
      </c>
      <c r="Q291" s="4" t="str">
        <f t="shared" si="19"/>
        <v>忻州市</v>
      </c>
      <c r="R291" s="4">
        <f t="shared" si="17"/>
        <v>4</v>
      </c>
      <c r="S291" s="4" t="str">
        <f t="shared" si="18"/>
        <v>山西省</v>
      </c>
    </row>
    <row r="292" spans="9:19">
      <c r="I292" s="2">
        <v>291</v>
      </c>
      <c r="J292" s="2" t="s">
        <v>1082</v>
      </c>
      <c r="K292" s="2">
        <v>27</v>
      </c>
      <c r="L292" s="2" t="str">
        <f t="shared" si="16"/>
        <v>陕西省</v>
      </c>
      <c r="M292" s="2" t="s">
        <v>1083</v>
      </c>
      <c r="N292" s="4">
        <v>291</v>
      </c>
      <c r="O292" s="4" t="s">
        <v>1084</v>
      </c>
      <c r="P292" s="4">
        <v>22</v>
      </c>
      <c r="Q292" s="4" t="str">
        <f t="shared" si="19"/>
        <v>忻州市</v>
      </c>
      <c r="R292" s="4">
        <f t="shared" si="17"/>
        <v>4</v>
      </c>
      <c r="S292" s="4" t="str">
        <f t="shared" si="18"/>
        <v>山西省</v>
      </c>
    </row>
    <row r="293" spans="9:19">
      <c r="I293" s="2">
        <v>292</v>
      </c>
      <c r="J293" s="2" t="s">
        <v>1085</v>
      </c>
      <c r="K293" s="2">
        <v>27</v>
      </c>
      <c r="L293" s="2" t="str">
        <f t="shared" si="16"/>
        <v>陕西省</v>
      </c>
      <c r="M293" s="2" t="s">
        <v>1086</v>
      </c>
      <c r="N293" s="4">
        <v>292</v>
      </c>
      <c r="O293" s="4" t="s">
        <v>1087</v>
      </c>
      <c r="P293" s="4">
        <v>22</v>
      </c>
      <c r="Q293" s="4" t="str">
        <f t="shared" si="19"/>
        <v>忻州市</v>
      </c>
      <c r="R293" s="4">
        <f t="shared" si="17"/>
        <v>4</v>
      </c>
      <c r="S293" s="4" t="str">
        <f t="shared" si="18"/>
        <v>山西省</v>
      </c>
    </row>
    <row r="294" spans="9:19">
      <c r="I294" s="2">
        <v>293</v>
      </c>
      <c r="J294" s="2" t="s">
        <v>1088</v>
      </c>
      <c r="K294" s="2">
        <v>27</v>
      </c>
      <c r="L294" s="2" t="str">
        <f t="shared" si="16"/>
        <v>陕西省</v>
      </c>
      <c r="M294" s="2" t="s">
        <v>1089</v>
      </c>
      <c r="N294" s="4">
        <v>293</v>
      </c>
      <c r="O294" s="4" t="s">
        <v>1090</v>
      </c>
      <c r="P294" s="4">
        <v>22</v>
      </c>
      <c r="Q294" s="4" t="str">
        <f t="shared" si="19"/>
        <v>忻州市</v>
      </c>
      <c r="R294" s="4">
        <f t="shared" si="17"/>
        <v>4</v>
      </c>
      <c r="S294" s="4" t="str">
        <f t="shared" si="18"/>
        <v>山西省</v>
      </c>
    </row>
    <row r="295" spans="9:19">
      <c r="I295" s="2">
        <v>294</v>
      </c>
      <c r="J295" s="2" t="s">
        <v>1091</v>
      </c>
      <c r="K295" s="2">
        <v>27</v>
      </c>
      <c r="L295" s="2" t="str">
        <f t="shared" si="16"/>
        <v>陕西省</v>
      </c>
      <c r="M295" s="2" t="s">
        <v>1092</v>
      </c>
      <c r="N295" s="4">
        <v>294</v>
      </c>
      <c r="O295" s="4" t="s">
        <v>1093</v>
      </c>
      <c r="P295" s="4">
        <v>22</v>
      </c>
      <c r="Q295" s="4" t="str">
        <f t="shared" si="19"/>
        <v>忻州市</v>
      </c>
      <c r="R295" s="4">
        <f t="shared" si="17"/>
        <v>4</v>
      </c>
      <c r="S295" s="4" t="str">
        <f t="shared" si="18"/>
        <v>山西省</v>
      </c>
    </row>
    <row r="296" spans="9:19">
      <c r="I296" s="2">
        <v>295</v>
      </c>
      <c r="J296" s="2" t="s">
        <v>1094</v>
      </c>
      <c r="K296" s="2">
        <v>27</v>
      </c>
      <c r="L296" s="2" t="str">
        <f t="shared" si="16"/>
        <v>陕西省</v>
      </c>
      <c r="M296" s="2" t="s">
        <v>1095</v>
      </c>
      <c r="N296" s="4">
        <v>295</v>
      </c>
      <c r="O296" s="4" t="s">
        <v>1096</v>
      </c>
      <c r="P296" s="4">
        <v>22</v>
      </c>
      <c r="Q296" s="4" t="str">
        <f t="shared" si="19"/>
        <v>忻州市</v>
      </c>
      <c r="R296" s="4">
        <f t="shared" si="17"/>
        <v>4</v>
      </c>
      <c r="S296" s="4" t="str">
        <f t="shared" si="18"/>
        <v>山西省</v>
      </c>
    </row>
    <row r="297" spans="9:19">
      <c r="I297" s="2">
        <v>296</v>
      </c>
      <c r="J297" s="2" t="s">
        <v>1097</v>
      </c>
      <c r="K297" s="2">
        <v>27</v>
      </c>
      <c r="L297" s="2" t="str">
        <f t="shared" si="16"/>
        <v>陕西省</v>
      </c>
      <c r="M297" s="2" t="s">
        <v>1098</v>
      </c>
      <c r="N297" s="4">
        <v>296</v>
      </c>
      <c r="O297" s="4" t="s">
        <v>1099</v>
      </c>
      <c r="P297" s="4">
        <v>22</v>
      </c>
      <c r="Q297" s="4" t="str">
        <f t="shared" si="19"/>
        <v>忻州市</v>
      </c>
      <c r="R297" s="4">
        <f t="shared" si="17"/>
        <v>4</v>
      </c>
      <c r="S297" s="4" t="str">
        <f t="shared" si="18"/>
        <v>山西省</v>
      </c>
    </row>
    <row r="298" spans="9:19">
      <c r="I298" s="2">
        <v>297</v>
      </c>
      <c r="J298" s="2" t="s">
        <v>1100</v>
      </c>
      <c r="K298" s="2">
        <v>27</v>
      </c>
      <c r="L298" s="2" t="str">
        <f t="shared" si="16"/>
        <v>陕西省</v>
      </c>
      <c r="M298" s="2" t="s">
        <v>1101</v>
      </c>
      <c r="N298" s="4">
        <v>297</v>
      </c>
      <c r="O298" s="4" t="s">
        <v>1102</v>
      </c>
      <c r="P298" s="4">
        <v>22</v>
      </c>
      <c r="Q298" s="4" t="str">
        <f t="shared" si="19"/>
        <v>忻州市</v>
      </c>
      <c r="R298" s="4">
        <f t="shared" si="17"/>
        <v>4</v>
      </c>
      <c r="S298" s="4" t="str">
        <f t="shared" si="18"/>
        <v>山西省</v>
      </c>
    </row>
    <row r="299" spans="9:19">
      <c r="I299" s="2">
        <v>298</v>
      </c>
      <c r="J299" s="2" t="s">
        <v>1103</v>
      </c>
      <c r="K299" s="2">
        <v>28</v>
      </c>
      <c r="L299" s="2" t="str">
        <f t="shared" si="16"/>
        <v>甘肃省</v>
      </c>
      <c r="M299" s="2" t="s">
        <v>1104</v>
      </c>
      <c r="N299" s="4">
        <v>298</v>
      </c>
      <c r="O299" s="4" t="s">
        <v>1105</v>
      </c>
      <c r="P299" s="4">
        <v>23</v>
      </c>
      <c r="Q299" s="4" t="str">
        <f t="shared" si="19"/>
        <v>临汾市</v>
      </c>
      <c r="R299" s="4">
        <f t="shared" si="17"/>
        <v>4</v>
      </c>
      <c r="S299" s="4" t="str">
        <f t="shared" si="18"/>
        <v>山西省</v>
      </c>
    </row>
    <row r="300" spans="9:19">
      <c r="I300" s="2">
        <v>299</v>
      </c>
      <c r="J300" s="2" t="s">
        <v>1106</v>
      </c>
      <c r="K300" s="2">
        <v>28</v>
      </c>
      <c r="L300" s="2" t="str">
        <f t="shared" si="16"/>
        <v>甘肃省</v>
      </c>
      <c r="M300" s="2" t="s">
        <v>1107</v>
      </c>
      <c r="N300" s="4">
        <v>299</v>
      </c>
      <c r="O300" s="4" t="s">
        <v>1108</v>
      </c>
      <c r="P300" s="4">
        <v>23</v>
      </c>
      <c r="Q300" s="4" t="str">
        <f t="shared" si="19"/>
        <v>临汾市</v>
      </c>
      <c r="R300" s="4">
        <f t="shared" si="17"/>
        <v>4</v>
      </c>
      <c r="S300" s="4" t="str">
        <f t="shared" si="18"/>
        <v>山西省</v>
      </c>
    </row>
    <row r="301" spans="9:19">
      <c r="I301" s="2">
        <v>300</v>
      </c>
      <c r="J301" s="2" t="s">
        <v>1109</v>
      </c>
      <c r="K301" s="2">
        <v>28</v>
      </c>
      <c r="L301" s="2" t="str">
        <f t="shared" si="16"/>
        <v>甘肃省</v>
      </c>
      <c r="M301" s="2" t="s">
        <v>1110</v>
      </c>
      <c r="N301" s="4">
        <v>300</v>
      </c>
      <c r="O301" s="4" t="s">
        <v>1111</v>
      </c>
      <c r="P301" s="4">
        <v>23</v>
      </c>
      <c r="Q301" s="4" t="str">
        <f t="shared" si="19"/>
        <v>临汾市</v>
      </c>
      <c r="R301" s="4">
        <f t="shared" si="17"/>
        <v>4</v>
      </c>
      <c r="S301" s="4" t="str">
        <f t="shared" si="18"/>
        <v>山西省</v>
      </c>
    </row>
    <row r="302" spans="9:19">
      <c r="I302" s="2">
        <v>301</v>
      </c>
      <c r="J302" s="2" t="s">
        <v>1112</v>
      </c>
      <c r="K302" s="2">
        <v>28</v>
      </c>
      <c r="L302" s="2" t="str">
        <f t="shared" si="16"/>
        <v>甘肃省</v>
      </c>
      <c r="M302" s="2" t="s">
        <v>1113</v>
      </c>
      <c r="N302" s="4">
        <v>301</v>
      </c>
      <c r="O302" s="4" t="s">
        <v>1114</v>
      </c>
      <c r="P302" s="4">
        <v>23</v>
      </c>
      <c r="Q302" s="4" t="str">
        <f t="shared" si="19"/>
        <v>临汾市</v>
      </c>
      <c r="R302" s="4">
        <f t="shared" si="17"/>
        <v>4</v>
      </c>
      <c r="S302" s="4" t="str">
        <f t="shared" si="18"/>
        <v>山西省</v>
      </c>
    </row>
    <row r="303" spans="9:19">
      <c r="I303" s="2">
        <v>302</v>
      </c>
      <c r="J303" s="2" t="s">
        <v>1115</v>
      </c>
      <c r="K303" s="2">
        <v>28</v>
      </c>
      <c r="L303" s="2" t="str">
        <f t="shared" si="16"/>
        <v>甘肃省</v>
      </c>
      <c r="M303" s="2" t="s">
        <v>1116</v>
      </c>
      <c r="N303" s="4">
        <v>302</v>
      </c>
      <c r="O303" s="4" t="s">
        <v>1117</v>
      </c>
      <c r="P303" s="4">
        <v>23</v>
      </c>
      <c r="Q303" s="4" t="str">
        <f t="shared" si="19"/>
        <v>临汾市</v>
      </c>
      <c r="R303" s="4">
        <f t="shared" si="17"/>
        <v>4</v>
      </c>
      <c r="S303" s="4" t="str">
        <f t="shared" si="18"/>
        <v>山西省</v>
      </c>
    </row>
    <row r="304" spans="9:19">
      <c r="I304" s="2">
        <v>303</v>
      </c>
      <c r="J304" s="2" t="s">
        <v>1118</v>
      </c>
      <c r="K304" s="2">
        <v>28</v>
      </c>
      <c r="L304" s="2" t="str">
        <f t="shared" si="16"/>
        <v>甘肃省</v>
      </c>
      <c r="M304" s="2" t="s">
        <v>1119</v>
      </c>
      <c r="N304" s="4">
        <v>303</v>
      </c>
      <c r="O304" s="4" t="s">
        <v>1120</v>
      </c>
      <c r="P304" s="4">
        <v>23</v>
      </c>
      <c r="Q304" s="4" t="str">
        <f t="shared" si="19"/>
        <v>临汾市</v>
      </c>
      <c r="R304" s="4">
        <f t="shared" si="17"/>
        <v>4</v>
      </c>
      <c r="S304" s="4" t="str">
        <f t="shared" si="18"/>
        <v>山西省</v>
      </c>
    </row>
    <row r="305" spans="9:19">
      <c r="I305" s="2">
        <v>304</v>
      </c>
      <c r="J305" s="2" t="s">
        <v>1121</v>
      </c>
      <c r="K305" s="2">
        <v>28</v>
      </c>
      <c r="L305" s="2" t="str">
        <f t="shared" si="16"/>
        <v>甘肃省</v>
      </c>
      <c r="M305" s="2" t="s">
        <v>1122</v>
      </c>
      <c r="N305" s="4">
        <v>304</v>
      </c>
      <c r="O305" s="4" t="s">
        <v>1123</v>
      </c>
      <c r="P305" s="4">
        <v>23</v>
      </c>
      <c r="Q305" s="4" t="str">
        <f t="shared" si="19"/>
        <v>临汾市</v>
      </c>
      <c r="R305" s="4">
        <f t="shared" si="17"/>
        <v>4</v>
      </c>
      <c r="S305" s="4" t="str">
        <f t="shared" si="18"/>
        <v>山西省</v>
      </c>
    </row>
    <row r="306" spans="9:19">
      <c r="I306" s="2">
        <v>305</v>
      </c>
      <c r="J306" s="2" t="s">
        <v>1124</v>
      </c>
      <c r="K306" s="2">
        <v>28</v>
      </c>
      <c r="L306" s="2" t="str">
        <f t="shared" si="16"/>
        <v>甘肃省</v>
      </c>
      <c r="M306" s="2" t="s">
        <v>1125</v>
      </c>
      <c r="N306" s="4">
        <v>305</v>
      </c>
      <c r="O306" s="4" t="s">
        <v>1126</v>
      </c>
      <c r="P306" s="4">
        <v>23</v>
      </c>
      <c r="Q306" s="4" t="str">
        <f t="shared" si="19"/>
        <v>临汾市</v>
      </c>
      <c r="R306" s="4">
        <f t="shared" si="17"/>
        <v>4</v>
      </c>
      <c r="S306" s="4" t="str">
        <f t="shared" si="18"/>
        <v>山西省</v>
      </c>
    </row>
    <row r="307" spans="9:19">
      <c r="I307" s="2">
        <v>306</v>
      </c>
      <c r="J307" s="2" t="s">
        <v>1127</v>
      </c>
      <c r="K307" s="2">
        <v>28</v>
      </c>
      <c r="L307" s="2" t="str">
        <f t="shared" si="16"/>
        <v>甘肃省</v>
      </c>
      <c r="M307" s="2" t="s">
        <v>1128</v>
      </c>
      <c r="N307" s="4">
        <v>306</v>
      </c>
      <c r="O307" s="4" t="s">
        <v>1129</v>
      </c>
      <c r="P307" s="4">
        <v>23</v>
      </c>
      <c r="Q307" s="4" t="str">
        <f t="shared" si="19"/>
        <v>临汾市</v>
      </c>
      <c r="R307" s="4">
        <f t="shared" si="17"/>
        <v>4</v>
      </c>
      <c r="S307" s="4" t="str">
        <f t="shared" si="18"/>
        <v>山西省</v>
      </c>
    </row>
    <row r="308" spans="9:19">
      <c r="I308" s="2">
        <v>307</v>
      </c>
      <c r="J308" s="2" t="s">
        <v>1130</v>
      </c>
      <c r="K308" s="2">
        <v>28</v>
      </c>
      <c r="L308" s="2" t="str">
        <f t="shared" si="16"/>
        <v>甘肃省</v>
      </c>
      <c r="M308" s="2" t="s">
        <v>1131</v>
      </c>
      <c r="N308" s="4">
        <v>307</v>
      </c>
      <c r="O308" s="4" t="s">
        <v>1132</v>
      </c>
      <c r="P308" s="4">
        <v>23</v>
      </c>
      <c r="Q308" s="4" t="str">
        <f t="shared" si="19"/>
        <v>临汾市</v>
      </c>
      <c r="R308" s="4">
        <f t="shared" si="17"/>
        <v>4</v>
      </c>
      <c r="S308" s="4" t="str">
        <f t="shared" si="18"/>
        <v>山西省</v>
      </c>
    </row>
    <row r="309" spans="9:19">
      <c r="I309" s="2">
        <v>308</v>
      </c>
      <c r="J309" s="2" t="s">
        <v>1133</v>
      </c>
      <c r="K309" s="2">
        <v>28</v>
      </c>
      <c r="L309" s="2" t="str">
        <f t="shared" si="16"/>
        <v>甘肃省</v>
      </c>
      <c r="M309" s="2" t="s">
        <v>1134</v>
      </c>
      <c r="N309" s="4">
        <v>308</v>
      </c>
      <c r="O309" s="4" t="s">
        <v>1135</v>
      </c>
      <c r="P309" s="4">
        <v>23</v>
      </c>
      <c r="Q309" s="4" t="str">
        <f t="shared" si="19"/>
        <v>临汾市</v>
      </c>
      <c r="R309" s="4">
        <f t="shared" si="17"/>
        <v>4</v>
      </c>
      <c r="S309" s="4" t="str">
        <f t="shared" si="18"/>
        <v>山西省</v>
      </c>
    </row>
    <row r="310" spans="9:19">
      <c r="I310" s="2">
        <v>309</v>
      </c>
      <c r="J310" s="2" t="s">
        <v>1136</v>
      </c>
      <c r="K310" s="2">
        <v>28</v>
      </c>
      <c r="L310" s="2" t="str">
        <f t="shared" si="16"/>
        <v>甘肃省</v>
      </c>
      <c r="M310" s="2" t="s">
        <v>1137</v>
      </c>
      <c r="N310" s="4">
        <v>309</v>
      </c>
      <c r="O310" s="4" t="s">
        <v>1138</v>
      </c>
      <c r="P310" s="4">
        <v>23</v>
      </c>
      <c r="Q310" s="4" t="str">
        <f t="shared" si="19"/>
        <v>临汾市</v>
      </c>
      <c r="R310" s="4">
        <f t="shared" si="17"/>
        <v>4</v>
      </c>
      <c r="S310" s="4" t="str">
        <f t="shared" si="18"/>
        <v>山西省</v>
      </c>
    </row>
    <row r="311" spans="9:19">
      <c r="I311" s="2">
        <v>310</v>
      </c>
      <c r="J311" s="2" t="s">
        <v>1139</v>
      </c>
      <c r="K311" s="2">
        <v>28</v>
      </c>
      <c r="L311" s="2" t="str">
        <f t="shared" si="16"/>
        <v>甘肃省</v>
      </c>
      <c r="M311" s="2" t="s">
        <v>1140</v>
      </c>
      <c r="N311" s="4">
        <v>310</v>
      </c>
      <c r="O311" s="4" t="s">
        <v>1141</v>
      </c>
      <c r="P311" s="4">
        <v>23</v>
      </c>
      <c r="Q311" s="4" t="str">
        <f t="shared" si="19"/>
        <v>临汾市</v>
      </c>
      <c r="R311" s="4">
        <f t="shared" si="17"/>
        <v>4</v>
      </c>
      <c r="S311" s="4" t="str">
        <f t="shared" si="18"/>
        <v>山西省</v>
      </c>
    </row>
    <row r="312" spans="9:19">
      <c r="I312" s="2">
        <v>311</v>
      </c>
      <c r="J312" s="2" t="s">
        <v>1142</v>
      </c>
      <c r="K312" s="2">
        <v>28</v>
      </c>
      <c r="L312" s="2" t="str">
        <f t="shared" si="16"/>
        <v>甘肃省</v>
      </c>
      <c r="M312" s="2" t="s">
        <v>1143</v>
      </c>
      <c r="N312" s="4">
        <v>311</v>
      </c>
      <c r="O312" s="4" t="s">
        <v>1144</v>
      </c>
      <c r="P312" s="4">
        <v>23</v>
      </c>
      <c r="Q312" s="4" t="str">
        <f t="shared" si="19"/>
        <v>临汾市</v>
      </c>
      <c r="R312" s="4">
        <f t="shared" si="17"/>
        <v>4</v>
      </c>
      <c r="S312" s="4" t="str">
        <f t="shared" si="18"/>
        <v>山西省</v>
      </c>
    </row>
    <row r="313" spans="9:19">
      <c r="I313" s="2">
        <v>312</v>
      </c>
      <c r="J313" s="2" t="s">
        <v>1145</v>
      </c>
      <c r="K313" s="2">
        <v>29</v>
      </c>
      <c r="L313" s="2" t="str">
        <f t="shared" si="16"/>
        <v>青海省</v>
      </c>
      <c r="M313" s="2" t="s">
        <v>1146</v>
      </c>
      <c r="N313" s="4">
        <v>312</v>
      </c>
      <c r="O313" s="4" t="s">
        <v>1147</v>
      </c>
      <c r="P313" s="4">
        <v>23</v>
      </c>
      <c r="Q313" s="4" t="str">
        <f t="shared" si="19"/>
        <v>临汾市</v>
      </c>
      <c r="R313" s="4">
        <f t="shared" si="17"/>
        <v>4</v>
      </c>
      <c r="S313" s="4" t="str">
        <f t="shared" si="18"/>
        <v>山西省</v>
      </c>
    </row>
    <row r="314" spans="9:19">
      <c r="I314" s="2">
        <v>313</v>
      </c>
      <c r="J314" s="2" t="s">
        <v>1148</v>
      </c>
      <c r="K314" s="2">
        <v>29</v>
      </c>
      <c r="L314" s="2" t="str">
        <f t="shared" si="16"/>
        <v>青海省</v>
      </c>
      <c r="M314" s="2" t="s">
        <v>1149</v>
      </c>
      <c r="N314" s="4">
        <v>313</v>
      </c>
      <c r="O314" s="4" t="s">
        <v>1150</v>
      </c>
      <c r="P314" s="4">
        <v>23</v>
      </c>
      <c r="Q314" s="4" t="str">
        <f t="shared" si="19"/>
        <v>临汾市</v>
      </c>
      <c r="R314" s="4">
        <f t="shared" si="17"/>
        <v>4</v>
      </c>
      <c r="S314" s="4" t="str">
        <f t="shared" si="18"/>
        <v>山西省</v>
      </c>
    </row>
    <row r="315" spans="9:19">
      <c r="I315" s="2">
        <v>314</v>
      </c>
      <c r="J315" s="2" t="s">
        <v>1151</v>
      </c>
      <c r="K315" s="2">
        <v>29</v>
      </c>
      <c r="L315" s="2" t="str">
        <f t="shared" si="16"/>
        <v>青海省</v>
      </c>
      <c r="M315" s="2" t="s">
        <v>1152</v>
      </c>
      <c r="N315" s="4">
        <v>314</v>
      </c>
      <c r="O315" s="4" t="s">
        <v>1153</v>
      </c>
      <c r="P315" s="4">
        <v>23</v>
      </c>
      <c r="Q315" s="4" t="str">
        <f t="shared" si="19"/>
        <v>临汾市</v>
      </c>
      <c r="R315" s="4">
        <f t="shared" si="17"/>
        <v>4</v>
      </c>
      <c r="S315" s="4" t="str">
        <f t="shared" si="18"/>
        <v>山西省</v>
      </c>
    </row>
    <row r="316" spans="9:19">
      <c r="I316" s="2">
        <v>315</v>
      </c>
      <c r="J316" s="2" t="s">
        <v>1154</v>
      </c>
      <c r="K316" s="2">
        <v>29</v>
      </c>
      <c r="L316" s="2" t="str">
        <f t="shared" si="16"/>
        <v>青海省</v>
      </c>
      <c r="M316" s="2" t="s">
        <v>1155</v>
      </c>
      <c r="N316" s="4">
        <v>315</v>
      </c>
      <c r="O316" s="4" t="s">
        <v>1156</v>
      </c>
      <c r="P316" s="4">
        <v>24</v>
      </c>
      <c r="Q316" s="4" t="str">
        <f t="shared" si="19"/>
        <v>吕梁市</v>
      </c>
      <c r="R316" s="4">
        <f t="shared" si="17"/>
        <v>4</v>
      </c>
      <c r="S316" s="4" t="str">
        <f t="shared" si="18"/>
        <v>山西省</v>
      </c>
    </row>
    <row r="317" spans="9:19">
      <c r="I317" s="2">
        <v>316</v>
      </c>
      <c r="J317" s="2" t="s">
        <v>1157</v>
      </c>
      <c r="K317" s="2">
        <v>29</v>
      </c>
      <c r="L317" s="2" t="str">
        <f t="shared" si="16"/>
        <v>青海省</v>
      </c>
      <c r="M317" s="2" t="s">
        <v>1158</v>
      </c>
      <c r="N317" s="4">
        <v>316</v>
      </c>
      <c r="O317" s="4" t="s">
        <v>1159</v>
      </c>
      <c r="P317" s="4">
        <v>24</v>
      </c>
      <c r="Q317" s="4" t="str">
        <f t="shared" si="19"/>
        <v>吕梁市</v>
      </c>
      <c r="R317" s="4">
        <f t="shared" si="17"/>
        <v>4</v>
      </c>
      <c r="S317" s="4" t="str">
        <f t="shared" si="18"/>
        <v>山西省</v>
      </c>
    </row>
    <row r="318" spans="9:19">
      <c r="I318" s="2">
        <v>317</v>
      </c>
      <c r="J318" s="2" t="s">
        <v>1160</v>
      </c>
      <c r="K318" s="2">
        <v>29</v>
      </c>
      <c r="L318" s="2" t="str">
        <f t="shared" si="16"/>
        <v>青海省</v>
      </c>
      <c r="M318" s="2" t="s">
        <v>1161</v>
      </c>
      <c r="N318" s="4">
        <v>317</v>
      </c>
      <c r="O318" s="4" t="s">
        <v>1162</v>
      </c>
      <c r="P318" s="4">
        <v>24</v>
      </c>
      <c r="Q318" s="4" t="str">
        <f t="shared" si="19"/>
        <v>吕梁市</v>
      </c>
      <c r="R318" s="4">
        <f t="shared" si="17"/>
        <v>4</v>
      </c>
      <c r="S318" s="4" t="str">
        <f t="shared" si="18"/>
        <v>山西省</v>
      </c>
    </row>
    <row r="319" spans="9:19">
      <c r="I319" s="2">
        <v>318</v>
      </c>
      <c r="J319" s="2" t="s">
        <v>1163</v>
      </c>
      <c r="K319" s="2">
        <v>29</v>
      </c>
      <c r="L319" s="2" t="str">
        <f t="shared" si="16"/>
        <v>青海省</v>
      </c>
      <c r="M319" s="2" t="s">
        <v>1164</v>
      </c>
      <c r="N319" s="4">
        <v>318</v>
      </c>
      <c r="O319" s="4" t="s">
        <v>1165</v>
      </c>
      <c r="P319" s="4">
        <v>24</v>
      </c>
      <c r="Q319" s="4" t="str">
        <f t="shared" si="19"/>
        <v>吕梁市</v>
      </c>
      <c r="R319" s="4">
        <f t="shared" si="17"/>
        <v>4</v>
      </c>
      <c r="S319" s="4" t="str">
        <f t="shared" si="18"/>
        <v>山西省</v>
      </c>
    </row>
    <row r="320" spans="9:19">
      <c r="I320" s="2">
        <v>319</v>
      </c>
      <c r="J320" s="2" t="s">
        <v>1166</v>
      </c>
      <c r="K320" s="2">
        <v>29</v>
      </c>
      <c r="L320" s="2" t="str">
        <f t="shared" si="16"/>
        <v>青海省</v>
      </c>
      <c r="M320" s="2" t="s">
        <v>1167</v>
      </c>
      <c r="N320" s="4">
        <v>319</v>
      </c>
      <c r="O320" s="4" t="s">
        <v>1168</v>
      </c>
      <c r="P320" s="4">
        <v>24</v>
      </c>
      <c r="Q320" s="4" t="str">
        <f t="shared" si="19"/>
        <v>吕梁市</v>
      </c>
      <c r="R320" s="4">
        <f t="shared" si="17"/>
        <v>4</v>
      </c>
      <c r="S320" s="4" t="str">
        <f t="shared" si="18"/>
        <v>山西省</v>
      </c>
    </row>
    <row r="321" spans="9:19">
      <c r="I321" s="2">
        <v>320</v>
      </c>
      <c r="J321" s="2" t="s">
        <v>1169</v>
      </c>
      <c r="K321" s="2">
        <v>30</v>
      </c>
      <c r="L321" s="2" t="str">
        <f t="shared" si="16"/>
        <v>宁夏回族自治区</v>
      </c>
      <c r="M321" s="2" t="s">
        <v>1170</v>
      </c>
      <c r="N321" s="4">
        <v>320</v>
      </c>
      <c r="O321" s="4" t="s">
        <v>1171</v>
      </c>
      <c r="P321" s="4">
        <v>24</v>
      </c>
      <c r="Q321" s="4" t="str">
        <f t="shared" si="19"/>
        <v>吕梁市</v>
      </c>
      <c r="R321" s="4">
        <f t="shared" si="17"/>
        <v>4</v>
      </c>
      <c r="S321" s="4" t="str">
        <f t="shared" si="18"/>
        <v>山西省</v>
      </c>
    </row>
    <row r="322" spans="9:19">
      <c r="I322" s="2">
        <v>321</v>
      </c>
      <c r="J322" s="2" t="s">
        <v>1172</v>
      </c>
      <c r="K322" s="2">
        <v>30</v>
      </c>
      <c r="L322" s="2" t="str">
        <f t="shared" ref="L322:L346" si="20">VLOOKUP(K322,$G$2:$H$35,2,FALSE)</f>
        <v>宁夏回族自治区</v>
      </c>
      <c r="M322" s="2" t="s">
        <v>1173</v>
      </c>
      <c r="N322" s="4">
        <v>321</v>
      </c>
      <c r="O322" s="4" t="s">
        <v>1174</v>
      </c>
      <c r="P322" s="4">
        <v>24</v>
      </c>
      <c r="Q322" s="4" t="str">
        <f t="shared" si="19"/>
        <v>吕梁市</v>
      </c>
      <c r="R322" s="4">
        <f t="shared" ref="R322:R385" si="21">VLOOKUP(P322,$I$2:$M$346,3,FALSE)</f>
        <v>4</v>
      </c>
      <c r="S322" s="4" t="str">
        <f t="shared" ref="S322:S385" si="22">VLOOKUP(P322,$I$2:$M$346,4,FALSE)</f>
        <v>山西省</v>
      </c>
    </row>
    <row r="323" spans="9:19">
      <c r="I323" s="2">
        <v>322</v>
      </c>
      <c r="J323" s="2" t="s">
        <v>1175</v>
      </c>
      <c r="K323" s="2">
        <v>30</v>
      </c>
      <c r="L323" s="2" t="str">
        <f t="shared" si="20"/>
        <v>宁夏回族自治区</v>
      </c>
      <c r="M323" s="2" t="s">
        <v>1176</v>
      </c>
      <c r="N323" s="4">
        <v>322</v>
      </c>
      <c r="O323" s="4" t="s">
        <v>1177</v>
      </c>
      <c r="P323" s="4">
        <v>24</v>
      </c>
      <c r="Q323" s="4" t="str">
        <f t="shared" ref="Q323:Q386" si="23">VLOOKUP(P323,$I$2:$J$346,2,FALSE)</f>
        <v>吕梁市</v>
      </c>
      <c r="R323" s="4">
        <f t="shared" si="21"/>
        <v>4</v>
      </c>
      <c r="S323" s="4" t="str">
        <f t="shared" si="22"/>
        <v>山西省</v>
      </c>
    </row>
    <row r="324" spans="9:19">
      <c r="I324" s="2">
        <v>323</v>
      </c>
      <c r="J324" s="2" t="s">
        <v>1178</v>
      </c>
      <c r="K324" s="2">
        <v>30</v>
      </c>
      <c r="L324" s="2" t="str">
        <f t="shared" si="20"/>
        <v>宁夏回族自治区</v>
      </c>
      <c r="M324" s="2" t="s">
        <v>1179</v>
      </c>
      <c r="N324" s="4">
        <v>323</v>
      </c>
      <c r="O324" s="4" t="s">
        <v>1180</v>
      </c>
      <c r="P324" s="4">
        <v>24</v>
      </c>
      <c r="Q324" s="4" t="str">
        <f t="shared" si="23"/>
        <v>吕梁市</v>
      </c>
      <c r="R324" s="4">
        <f t="shared" si="21"/>
        <v>4</v>
      </c>
      <c r="S324" s="4" t="str">
        <f t="shared" si="22"/>
        <v>山西省</v>
      </c>
    </row>
    <row r="325" spans="9:19">
      <c r="I325" s="2">
        <v>324</v>
      </c>
      <c r="J325" s="2" t="s">
        <v>1181</v>
      </c>
      <c r="K325" s="2">
        <v>30</v>
      </c>
      <c r="L325" s="2" t="str">
        <f t="shared" si="20"/>
        <v>宁夏回族自治区</v>
      </c>
      <c r="M325" s="2" t="s">
        <v>1182</v>
      </c>
      <c r="N325" s="4">
        <v>324</v>
      </c>
      <c r="O325" s="4" t="s">
        <v>1183</v>
      </c>
      <c r="P325" s="4">
        <v>24</v>
      </c>
      <c r="Q325" s="4" t="str">
        <f t="shared" si="23"/>
        <v>吕梁市</v>
      </c>
      <c r="R325" s="4">
        <f t="shared" si="21"/>
        <v>4</v>
      </c>
      <c r="S325" s="4" t="str">
        <f t="shared" si="22"/>
        <v>山西省</v>
      </c>
    </row>
    <row r="326" spans="9:19">
      <c r="I326" s="2">
        <v>325</v>
      </c>
      <c r="J326" s="2" t="s">
        <v>1184</v>
      </c>
      <c r="K326" s="2">
        <v>31</v>
      </c>
      <c r="L326" s="2" t="str">
        <f t="shared" si="20"/>
        <v>新疆维吾尔自治区</v>
      </c>
      <c r="M326" s="2" t="s">
        <v>1185</v>
      </c>
      <c r="N326" s="4">
        <v>325</v>
      </c>
      <c r="O326" s="4" t="s">
        <v>1186</v>
      </c>
      <c r="P326" s="4">
        <v>24</v>
      </c>
      <c r="Q326" s="4" t="str">
        <f t="shared" si="23"/>
        <v>吕梁市</v>
      </c>
      <c r="R326" s="4">
        <f t="shared" si="21"/>
        <v>4</v>
      </c>
      <c r="S326" s="4" t="str">
        <f t="shared" si="22"/>
        <v>山西省</v>
      </c>
    </row>
    <row r="327" spans="9:19">
      <c r="I327" s="2">
        <v>326</v>
      </c>
      <c r="J327" s="2" t="s">
        <v>1187</v>
      </c>
      <c r="K327" s="2">
        <v>31</v>
      </c>
      <c r="L327" s="2" t="str">
        <f t="shared" si="20"/>
        <v>新疆维吾尔自治区</v>
      </c>
      <c r="M327" s="2" t="s">
        <v>1188</v>
      </c>
      <c r="N327" s="4">
        <v>326</v>
      </c>
      <c r="O327" s="4" t="s">
        <v>1189</v>
      </c>
      <c r="P327" s="4">
        <v>24</v>
      </c>
      <c r="Q327" s="4" t="str">
        <f t="shared" si="23"/>
        <v>吕梁市</v>
      </c>
      <c r="R327" s="4">
        <f t="shared" si="21"/>
        <v>4</v>
      </c>
      <c r="S327" s="4" t="str">
        <f t="shared" si="22"/>
        <v>山西省</v>
      </c>
    </row>
    <row r="328" spans="9:19">
      <c r="I328" s="2">
        <v>327</v>
      </c>
      <c r="J328" s="2" t="s">
        <v>1190</v>
      </c>
      <c r="K328" s="2">
        <v>31</v>
      </c>
      <c r="L328" s="2" t="str">
        <f t="shared" si="20"/>
        <v>新疆维吾尔自治区</v>
      </c>
      <c r="M328" s="2" t="s">
        <v>1191</v>
      </c>
      <c r="N328" s="4">
        <v>327</v>
      </c>
      <c r="O328" s="4" t="s">
        <v>1192</v>
      </c>
      <c r="P328" s="4">
        <v>24</v>
      </c>
      <c r="Q328" s="4" t="str">
        <f t="shared" si="23"/>
        <v>吕梁市</v>
      </c>
      <c r="R328" s="4">
        <f t="shared" si="21"/>
        <v>4</v>
      </c>
      <c r="S328" s="4" t="str">
        <f t="shared" si="22"/>
        <v>山西省</v>
      </c>
    </row>
    <row r="329" spans="9:19">
      <c r="I329" s="2">
        <v>328</v>
      </c>
      <c r="J329" s="2" t="s">
        <v>1193</v>
      </c>
      <c r="K329" s="2">
        <v>31</v>
      </c>
      <c r="L329" s="2" t="str">
        <f t="shared" si="20"/>
        <v>新疆维吾尔自治区</v>
      </c>
      <c r="M329" s="2" t="s">
        <v>1194</v>
      </c>
      <c r="N329" s="4">
        <v>328</v>
      </c>
      <c r="O329" s="4" t="s">
        <v>1195</v>
      </c>
      <c r="P329" s="4">
        <v>25</v>
      </c>
      <c r="Q329" s="4" t="str">
        <f t="shared" si="23"/>
        <v>呼和浩特市</v>
      </c>
      <c r="R329" s="4">
        <f t="shared" si="21"/>
        <v>5</v>
      </c>
      <c r="S329" s="4" t="str">
        <f t="shared" si="22"/>
        <v>内蒙古自治区</v>
      </c>
    </row>
    <row r="330" spans="9:19">
      <c r="I330" s="2">
        <v>329</v>
      </c>
      <c r="J330" s="2" t="s">
        <v>1196</v>
      </c>
      <c r="K330" s="2">
        <v>31</v>
      </c>
      <c r="L330" s="2" t="str">
        <f t="shared" si="20"/>
        <v>新疆维吾尔自治区</v>
      </c>
      <c r="M330" s="2" t="s">
        <v>1197</v>
      </c>
      <c r="N330" s="4">
        <v>329</v>
      </c>
      <c r="O330" s="4" t="s">
        <v>1198</v>
      </c>
      <c r="P330" s="4">
        <v>25</v>
      </c>
      <c r="Q330" s="4" t="str">
        <f t="shared" si="23"/>
        <v>呼和浩特市</v>
      </c>
      <c r="R330" s="4">
        <f t="shared" si="21"/>
        <v>5</v>
      </c>
      <c r="S330" s="4" t="str">
        <f t="shared" si="22"/>
        <v>内蒙古自治区</v>
      </c>
    </row>
    <row r="331" spans="9:19">
      <c r="I331" s="2">
        <v>330</v>
      </c>
      <c r="J331" s="2" t="s">
        <v>1199</v>
      </c>
      <c r="K331" s="2">
        <v>31</v>
      </c>
      <c r="L331" s="2" t="str">
        <f t="shared" si="20"/>
        <v>新疆维吾尔自治区</v>
      </c>
      <c r="M331" s="2" t="s">
        <v>1200</v>
      </c>
      <c r="N331" s="4">
        <v>330</v>
      </c>
      <c r="O331" s="4" t="s">
        <v>1201</v>
      </c>
      <c r="P331" s="4">
        <v>25</v>
      </c>
      <c r="Q331" s="4" t="str">
        <f t="shared" si="23"/>
        <v>呼和浩特市</v>
      </c>
      <c r="R331" s="4">
        <f t="shared" si="21"/>
        <v>5</v>
      </c>
      <c r="S331" s="4" t="str">
        <f t="shared" si="22"/>
        <v>内蒙古自治区</v>
      </c>
    </row>
    <row r="332" spans="9:19">
      <c r="I332" s="2">
        <v>331</v>
      </c>
      <c r="J332" s="2" t="s">
        <v>1202</v>
      </c>
      <c r="K332" s="2">
        <v>31</v>
      </c>
      <c r="L332" s="2" t="str">
        <f t="shared" si="20"/>
        <v>新疆维吾尔自治区</v>
      </c>
      <c r="M332" s="2" t="s">
        <v>1203</v>
      </c>
      <c r="N332" s="4">
        <v>331</v>
      </c>
      <c r="O332" s="4" t="s">
        <v>1204</v>
      </c>
      <c r="P332" s="4">
        <v>25</v>
      </c>
      <c r="Q332" s="4" t="str">
        <f t="shared" si="23"/>
        <v>呼和浩特市</v>
      </c>
      <c r="R332" s="4">
        <f t="shared" si="21"/>
        <v>5</v>
      </c>
      <c r="S332" s="4" t="str">
        <f t="shared" si="22"/>
        <v>内蒙古自治区</v>
      </c>
    </row>
    <row r="333" spans="9:19">
      <c r="I333" s="2">
        <v>332</v>
      </c>
      <c r="J333" s="2" t="s">
        <v>1205</v>
      </c>
      <c r="K333" s="2">
        <v>31</v>
      </c>
      <c r="L333" s="2" t="str">
        <f t="shared" si="20"/>
        <v>新疆维吾尔自治区</v>
      </c>
      <c r="M333" s="2" t="s">
        <v>1206</v>
      </c>
      <c r="N333" s="4">
        <v>332</v>
      </c>
      <c r="O333" s="4" t="s">
        <v>1207</v>
      </c>
      <c r="P333" s="4">
        <v>25</v>
      </c>
      <c r="Q333" s="4" t="str">
        <f t="shared" si="23"/>
        <v>呼和浩特市</v>
      </c>
      <c r="R333" s="4">
        <f t="shared" si="21"/>
        <v>5</v>
      </c>
      <c r="S333" s="4" t="str">
        <f t="shared" si="22"/>
        <v>内蒙古自治区</v>
      </c>
    </row>
    <row r="334" spans="9:19">
      <c r="I334" s="2">
        <v>333</v>
      </c>
      <c r="J334" s="2" t="s">
        <v>1208</v>
      </c>
      <c r="K334" s="2">
        <v>31</v>
      </c>
      <c r="L334" s="2" t="str">
        <f t="shared" si="20"/>
        <v>新疆维吾尔自治区</v>
      </c>
      <c r="M334" s="2" t="s">
        <v>1209</v>
      </c>
      <c r="N334" s="4">
        <v>333</v>
      </c>
      <c r="O334" s="4" t="s">
        <v>1210</v>
      </c>
      <c r="P334" s="4">
        <v>25</v>
      </c>
      <c r="Q334" s="4" t="str">
        <f t="shared" si="23"/>
        <v>呼和浩特市</v>
      </c>
      <c r="R334" s="4">
        <f t="shared" si="21"/>
        <v>5</v>
      </c>
      <c r="S334" s="4" t="str">
        <f t="shared" si="22"/>
        <v>内蒙古自治区</v>
      </c>
    </row>
    <row r="335" spans="9:19">
      <c r="I335" s="2">
        <v>334</v>
      </c>
      <c r="J335" s="2" t="s">
        <v>1211</v>
      </c>
      <c r="K335" s="2">
        <v>31</v>
      </c>
      <c r="L335" s="2" t="str">
        <f t="shared" si="20"/>
        <v>新疆维吾尔自治区</v>
      </c>
      <c r="M335" s="2" t="s">
        <v>1212</v>
      </c>
      <c r="N335" s="4">
        <v>334</v>
      </c>
      <c r="O335" s="4" t="s">
        <v>1213</v>
      </c>
      <c r="P335" s="4">
        <v>25</v>
      </c>
      <c r="Q335" s="4" t="str">
        <f t="shared" si="23"/>
        <v>呼和浩特市</v>
      </c>
      <c r="R335" s="4">
        <f t="shared" si="21"/>
        <v>5</v>
      </c>
      <c r="S335" s="4" t="str">
        <f t="shared" si="22"/>
        <v>内蒙古自治区</v>
      </c>
    </row>
    <row r="336" spans="9:19">
      <c r="I336" s="2">
        <v>335</v>
      </c>
      <c r="J336" s="2" t="s">
        <v>1214</v>
      </c>
      <c r="K336" s="2">
        <v>31</v>
      </c>
      <c r="L336" s="2" t="str">
        <f t="shared" si="20"/>
        <v>新疆维吾尔自治区</v>
      </c>
      <c r="M336" s="2" t="s">
        <v>1215</v>
      </c>
      <c r="N336" s="4">
        <v>335</v>
      </c>
      <c r="O336" s="4" t="s">
        <v>1216</v>
      </c>
      <c r="P336" s="4">
        <v>25</v>
      </c>
      <c r="Q336" s="4" t="str">
        <f t="shared" si="23"/>
        <v>呼和浩特市</v>
      </c>
      <c r="R336" s="4">
        <f t="shared" si="21"/>
        <v>5</v>
      </c>
      <c r="S336" s="4" t="str">
        <f t="shared" si="22"/>
        <v>内蒙古自治区</v>
      </c>
    </row>
    <row r="337" spans="9:19">
      <c r="I337" s="2">
        <v>336</v>
      </c>
      <c r="J337" s="2" t="s">
        <v>1217</v>
      </c>
      <c r="K337" s="2">
        <v>31</v>
      </c>
      <c r="L337" s="2" t="str">
        <f t="shared" si="20"/>
        <v>新疆维吾尔自治区</v>
      </c>
      <c r="M337" s="2" t="s">
        <v>1218</v>
      </c>
      <c r="N337" s="4">
        <v>336</v>
      </c>
      <c r="O337" s="4" t="s">
        <v>1219</v>
      </c>
      <c r="P337" s="4">
        <v>25</v>
      </c>
      <c r="Q337" s="4" t="str">
        <f t="shared" si="23"/>
        <v>呼和浩特市</v>
      </c>
      <c r="R337" s="4">
        <f t="shared" si="21"/>
        <v>5</v>
      </c>
      <c r="S337" s="4" t="str">
        <f t="shared" si="22"/>
        <v>内蒙古自治区</v>
      </c>
    </row>
    <row r="338" spans="9:19">
      <c r="I338" s="2">
        <v>337</v>
      </c>
      <c r="J338" s="2" t="s">
        <v>1220</v>
      </c>
      <c r="K338" s="2">
        <v>31</v>
      </c>
      <c r="L338" s="2" t="str">
        <f t="shared" si="20"/>
        <v>新疆维吾尔自治区</v>
      </c>
      <c r="M338" s="2" t="s">
        <v>1221</v>
      </c>
      <c r="N338" s="4">
        <v>337</v>
      </c>
      <c r="O338" s="4" t="s">
        <v>1222</v>
      </c>
      <c r="P338" s="4">
        <v>26</v>
      </c>
      <c r="Q338" s="4" t="str">
        <f t="shared" si="23"/>
        <v>包头市</v>
      </c>
      <c r="R338" s="4">
        <f t="shared" si="21"/>
        <v>5</v>
      </c>
      <c r="S338" s="4" t="str">
        <f t="shared" si="22"/>
        <v>内蒙古自治区</v>
      </c>
    </row>
    <row r="339" spans="9:19">
      <c r="I339" s="2">
        <v>338</v>
      </c>
      <c r="J339" s="2" t="s">
        <v>1223</v>
      </c>
      <c r="K339" s="2">
        <v>31</v>
      </c>
      <c r="L339" s="2" t="str">
        <f t="shared" si="20"/>
        <v>新疆维吾尔自治区</v>
      </c>
      <c r="M339" s="2" t="s">
        <v>1224</v>
      </c>
      <c r="N339" s="4">
        <v>338</v>
      </c>
      <c r="O339" s="4" t="s">
        <v>1225</v>
      </c>
      <c r="P339" s="4">
        <v>26</v>
      </c>
      <c r="Q339" s="4" t="str">
        <f t="shared" si="23"/>
        <v>包头市</v>
      </c>
      <c r="R339" s="4">
        <f t="shared" si="21"/>
        <v>5</v>
      </c>
      <c r="S339" s="4" t="str">
        <f t="shared" si="22"/>
        <v>内蒙古自治区</v>
      </c>
    </row>
    <row r="340" spans="9:19">
      <c r="I340" s="2">
        <v>339</v>
      </c>
      <c r="J340" s="2" t="s">
        <v>1226</v>
      </c>
      <c r="K340" s="2">
        <v>31</v>
      </c>
      <c r="L340" s="2" t="str">
        <f t="shared" si="20"/>
        <v>新疆维吾尔自治区</v>
      </c>
      <c r="M340" s="2" t="s">
        <v>1227</v>
      </c>
      <c r="N340" s="4">
        <v>339</v>
      </c>
      <c r="O340" s="4" t="s">
        <v>1228</v>
      </c>
      <c r="P340" s="4">
        <v>26</v>
      </c>
      <c r="Q340" s="4" t="str">
        <f t="shared" si="23"/>
        <v>包头市</v>
      </c>
      <c r="R340" s="4">
        <f t="shared" si="21"/>
        <v>5</v>
      </c>
      <c r="S340" s="4" t="str">
        <f t="shared" si="22"/>
        <v>内蒙古自治区</v>
      </c>
    </row>
    <row r="341" spans="9:19">
      <c r="I341" s="2">
        <v>340</v>
      </c>
      <c r="J341" s="2" t="s">
        <v>1229</v>
      </c>
      <c r="K341" s="2">
        <v>31</v>
      </c>
      <c r="L341" s="2" t="str">
        <f t="shared" si="20"/>
        <v>新疆维吾尔自治区</v>
      </c>
      <c r="M341" s="2" t="s">
        <v>1230</v>
      </c>
      <c r="N341" s="4">
        <v>340</v>
      </c>
      <c r="O341" s="4" t="s">
        <v>1231</v>
      </c>
      <c r="P341" s="4">
        <v>26</v>
      </c>
      <c r="Q341" s="4" t="str">
        <f t="shared" si="23"/>
        <v>包头市</v>
      </c>
      <c r="R341" s="4">
        <f t="shared" si="21"/>
        <v>5</v>
      </c>
      <c r="S341" s="4" t="str">
        <f t="shared" si="22"/>
        <v>内蒙古自治区</v>
      </c>
    </row>
    <row r="342" spans="9:19">
      <c r="I342" s="2">
        <v>341</v>
      </c>
      <c r="J342" s="2" t="s">
        <v>1232</v>
      </c>
      <c r="K342" s="2">
        <v>31</v>
      </c>
      <c r="L342" s="2" t="str">
        <f t="shared" si="20"/>
        <v>新疆维吾尔自治区</v>
      </c>
      <c r="M342" s="2" t="s">
        <v>1233</v>
      </c>
      <c r="N342" s="4">
        <v>341</v>
      </c>
      <c r="O342" s="4" t="s">
        <v>1234</v>
      </c>
      <c r="P342" s="4">
        <v>26</v>
      </c>
      <c r="Q342" s="4" t="str">
        <f t="shared" si="23"/>
        <v>包头市</v>
      </c>
      <c r="R342" s="4">
        <f t="shared" si="21"/>
        <v>5</v>
      </c>
      <c r="S342" s="4" t="str">
        <f t="shared" si="22"/>
        <v>内蒙古自治区</v>
      </c>
    </row>
    <row r="343" spans="9:19">
      <c r="I343" s="2">
        <v>342</v>
      </c>
      <c r="J343" s="2" t="s">
        <v>1235</v>
      </c>
      <c r="K343" s="2">
        <v>31</v>
      </c>
      <c r="L343" s="2" t="str">
        <f t="shared" si="20"/>
        <v>新疆维吾尔自治区</v>
      </c>
      <c r="M343" s="2" t="s">
        <v>1236</v>
      </c>
      <c r="N343" s="4">
        <v>342</v>
      </c>
      <c r="O343" s="4" t="s">
        <v>1237</v>
      </c>
      <c r="P343" s="4">
        <v>26</v>
      </c>
      <c r="Q343" s="4" t="str">
        <f t="shared" si="23"/>
        <v>包头市</v>
      </c>
      <c r="R343" s="4">
        <f t="shared" si="21"/>
        <v>5</v>
      </c>
      <c r="S343" s="4" t="str">
        <f t="shared" si="22"/>
        <v>内蒙古自治区</v>
      </c>
    </row>
    <row r="344" spans="9:19">
      <c r="I344" s="2">
        <v>343</v>
      </c>
      <c r="J344" s="2" t="s">
        <v>295</v>
      </c>
      <c r="K344" s="2">
        <v>32</v>
      </c>
      <c r="L344" s="2" t="str">
        <f t="shared" si="20"/>
        <v>香港特别行政区</v>
      </c>
      <c r="M344" s="2" t="s">
        <v>1238</v>
      </c>
      <c r="N344" s="4">
        <v>343</v>
      </c>
      <c r="O344" s="4" t="s">
        <v>1239</v>
      </c>
      <c r="P344" s="4">
        <v>26</v>
      </c>
      <c r="Q344" s="4" t="str">
        <f t="shared" si="23"/>
        <v>包头市</v>
      </c>
      <c r="R344" s="4">
        <f t="shared" si="21"/>
        <v>5</v>
      </c>
      <c r="S344" s="4" t="str">
        <f t="shared" si="22"/>
        <v>内蒙古自治区</v>
      </c>
    </row>
    <row r="345" spans="9:19">
      <c r="I345" s="2">
        <v>344</v>
      </c>
      <c r="J345" s="2" t="s">
        <v>300</v>
      </c>
      <c r="K345" s="2">
        <v>33</v>
      </c>
      <c r="L345" s="2" t="str">
        <f t="shared" si="20"/>
        <v>澳门特别行政区</v>
      </c>
      <c r="M345" s="2" t="s">
        <v>1238</v>
      </c>
      <c r="N345" s="4">
        <v>344</v>
      </c>
      <c r="O345" s="4" t="s">
        <v>1240</v>
      </c>
      <c r="P345" s="4">
        <v>26</v>
      </c>
      <c r="Q345" s="4" t="str">
        <f t="shared" si="23"/>
        <v>包头市</v>
      </c>
      <c r="R345" s="4">
        <f t="shared" si="21"/>
        <v>5</v>
      </c>
      <c r="S345" s="4" t="str">
        <f t="shared" si="22"/>
        <v>内蒙古自治区</v>
      </c>
    </row>
    <row r="346" spans="9:19">
      <c r="I346" s="2">
        <v>345</v>
      </c>
      <c r="J346" s="2" t="s">
        <v>305</v>
      </c>
      <c r="K346" s="2">
        <v>34</v>
      </c>
      <c r="L346" s="2" t="str">
        <f t="shared" si="20"/>
        <v>台湾省</v>
      </c>
      <c r="M346" s="2" t="s">
        <v>1238</v>
      </c>
      <c r="N346" s="4">
        <v>345</v>
      </c>
      <c r="O346" s="4" t="s">
        <v>1241</v>
      </c>
      <c r="P346" s="4">
        <v>26</v>
      </c>
      <c r="Q346" s="4" t="str">
        <f t="shared" si="23"/>
        <v>包头市</v>
      </c>
      <c r="R346" s="4">
        <f t="shared" si="21"/>
        <v>5</v>
      </c>
      <c r="S346" s="4" t="str">
        <f t="shared" si="22"/>
        <v>内蒙古自治区</v>
      </c>
    </row>
    <row r="347" spans="14:19">
      <c r="N347" s="4">
        <v>346</v>
      </c>
      <c r="O347" s="4" t="s">
        <v>1242</v>
      </c>
      <c r="P347" s="4">
        <v>27</v>
      </c>
      <c r="Q347" s="4" t="str">
        <f t="shared" si="23"/>
        <v>乌海市</v>
      </c>
      <c r="R347" s="4">
        <f t="shared" si="21"/>
        <v>5</v>
      </c>
      <c r="S347" s="4" t="str">
        <f t="shared" si="22"/>
        <v>内蒙古自治区</v>
      </c>
    </row>
    <row r="348" spans="14:19">
      <c r="N348" s="4">
        <v>347</v>
      </c>
      <c r="O348" s="4" t="s">
        <v>1243</v>
      </c>
      <c r="P348" s="4">
        <v>27</v>
      </c>
      <c r="Q348" s="4" t="str">
        <f t="shared" si="23"/>
        <v>乌海市</v>
      </c>
      <c r="R348" s="4">
        <f t="shared" si="21"/>
        <v>5</v>
      </c>
      <c r="S348" s="4" t="str">
        <f t="shared" si="22"/>
        <v>内蒙古自治区</v>
      </c>
    </row>
    <row r="349" spans="14:19">
      <c r="N349" s="4">
        <v>348</v>
      </c>
      <c r="O349" s="4" t="s">
        <v>1244</v>
      </c>
      <c r="P349" s="4">
        <v>27</v>
      </c>
      <c r="Q349" s="4" t="str">
        <f t="shared" si="23"/>
        <v>乌海市</v>
      </c>
      <c r="R349" s="4">
        <f t="shared" si="21"/>
        <v>5</v>
      </c>
      <c r="S349" s="4" t="str">
        <f t="shared" si="22"/>
        <v>内蒙古自治区</v>
      </c>
    </row>
    <row r="350" spans="14:19">
      <c r="N350" s="4">
        <v>349</v>
      </c>
      <c r="O350" s="4" t="s">
        <v>1245</v>
      </c>
      <c r="P350" s="4">
        <v>28</v>
      </c>
      <c r="Q350" s="4" t="str">
        <f t="shared" si="23"/>
        <v>赤峰市</v>
      </c>
      <c r="R350" s="4">
        <f t="shared" si="21"/>
        <v>5</v>
      </c>
      <c r="S350" s="4" t="str">
        <f t="shared" si="22"/>
        <v>内蒙古自治区</v>
      </c>
    </row>
    <row r="351" spans="14:19">
      <c r="N351" s="4">
        <v>350</v>
      </c>
      <c r="O351" s="4" t="s">
        <v>1246</v>
      </c>
      <c r="P351" s="4">
        <v>28</v>
      </c>
      <c r="Q351" s="4" t="str">
        <f t="shared" si="23"/>
        <v>赤峰市</v>
      </c>
      <c r="R351" s="4">
        <f t="shared" si="21"/>
        <v>5</v>
      </c>
      <c r="S351" s="4" t="str">
        <f t="shared" si="22"/>
        <v>内蒙古自治区</v>
      </c>
    </row>
    <row r="352" spans="14:19">
      <c r="N352" s="4">
        <v>351</v>
      </c>
      <c r="O352" s="4" t="s">
        <v>1247</v>
      </c>
      <c r="P352" s="4">
        <v>28</v>
      </c>
      <c r="Q352" s="4" t="str">
        <f t="shared" si="23"/>
        <v>赤峰市</v>
      </c>
      <c r="R352" s="4">
        <f t="shared" si="21"/>
        <v>5</v>
      </c>
      <c r="S352" s="4" t="str">
        <f t="shared" si="22"/>
        <v>内蒙古自治区</v>
      </c>
    </row>
    <row r="353" spans="14:19">
      <c r="N353" s="4">
        <v>352</v>
      </c>
      <c r="O353" s="4" t="s">
        <v>1248</v>
      </c>
      <c r="P353" s="4">
        <v>28</v>
      </c>
      <c r="Q353" s="4" t="str">
        <f t="shared" si="23"/>
        <v>赤峰市</v>
      </c>
      <c r="R353" s="4">
        <f t="shared" si="21"/>
        <v>5</v>
      </c>
      <c r="S353" s="4" t="str">
        <f t="shared" si="22"/>
        <v>内蒙古自治区</v>
      </c>
    </row>
    <row r="354" spans="14:19">
      <c r="N354" s="4">
        <v>353</v>
      </c>
      <c r="O354" s="4" t="s">
        <v>1249</v>
      </c>
      <c r="P354" s="4">
        <v>28</v>
      </c>
      <c r="Q354" s="4" t="str">
        <f t="shared" si="23"/>
        <v>赤峰市</v>
      </c>
      <c r="R354" s="4">
        <f t="shared" si="21"/>
        <v>5</v>
      </c>
      <c r="S354" s="4" t="str">
        <f t="shared" si="22"/>
        <v>内蒙古自治区</v>
      </c>
    </row>
    <row r="355" spans="14:19">
      <c r="N355" s="4">
        <v>354</v>
      </c>
      <c r="O355" s="4" t="s">
        <v>1250</v>
      </c>
      <c r="P355" s="4">
        <v>28</v>
      </c>
      <c r="Q355" s="4" t="str">
        <f t="shared" si="23"/>
        <v>赤峰市</v>
      </c>
      <c r="R355" s="4">
        <f t="shared" si="21"/>
        <v>5</v>
      </c>
      <c r="S355" s="4" t="str">
        <f t="shared" si="22"/>
        <v>内蒙古自治区</v>
      </c>
    </row>
    <row r="356" spans="14:19">
      <c r="N356" s="4">
        <v>355</v>
      </c>
      <c r="O356" s="4" t="s">
        <v>1251</v>
      </c>
      <c r="P356" s="4">
        <v>28</v>
      </c>
      <c r="Q356" s="4" t="str">
        <f t="shared" si="23"/>
        <v>赤峰市</v>
      </c>
      <c r="R356" s="4">
        <f t="shared" si="21"/>
        <v>5</v>
      </c>
      <c r="S356" s="4" t="str">
        <f t="shared" si="22"/>
        <v>内蒙古自治区</v>
      </c>
    </row>
    <row r="357" spans="14:19">
      <c r="N357" s="4">
        <v>356</v>
      </c>
      <c r="O357" s="4" t="s">
        <v>1252</v>
      </c>
      <c r="P357" s="4">
        <v>28</v>
      </c>
      <c r="Q357" s="4" t="str">
        <f t="shared" si="23"/>
        <v>赤峰市</v>
      </c>
      <c r="R357" s="4">
        <f t="shared" si="21"/>
        <v>5</v>
      </c>
      <c r="S357" s="4" t="str">
        <f t="shared" si="22"/>
        <v>内蒙古自治区</v>
      </c>
    </row>
    <row r="358" spans="14:19">
      <c r="N358" s="4">
        <v>357</v>
      </c>
      <c r="O358" s="4" t="s">
        <v>1253</v>
      </c>
      <c r="P358" s="4">
        <v>28</v>
      </c>
      <c r="Q358" s="4" t="str">
        <f t="shared" si="23"/>
        <v>赤峰市</v>
      </c>
      <c r="R358" s="4">
        <f t="shared" si="21"/>
        <v>5</v>
      </c>
      <c r="S358" s="4" t="str">
        <f t="shared" si="22"/>
        <v>内蒙古自治区</v>
      </c>
    </row>
    <row r="359" spans="14:19">
      <c r="N359" s="4">
        <v>358</v>
      </c>
      <c r="O359" s="4" t="s">
        <v>1254</v>
      </c>
      <c r="P359" s="4">
        <v>28</v>
      </c>
      <c r="Q359" s="4" t="str">
        <f t="shared" si="23"/>
        <v>赤峰市</v>
      </c>
      <c r="R359" s="4">
        <f t="shared" si="21"/>
        <v>5</v>
      </c>
      <c r="S359" s="4" t="str">
        <f t="shared" si="22"/>
        <v>内蒙古自治区</v>
      </c>
    </row>
    <row r="360" spans="14:19">
      <c r="N360" s="4">
        <v>359</v>
      </c>
      <c r="O360" s="4" t="s">
        <v>1255</v>
      </c>
      <c r="P360" s="4">
        <v>28</v>
      </c>
      <c r="Q360" s="4" t="str">
        <f t="shared" si="23"/>
        <v>赤峰市</v>
      </c>
      <c r="R360" s="4">
        <f t="shared" si="21"/>
        <v>5</v>
      </c>
      <c r="S360" s="4" t="str">
        <f t="shared" si="22"/>
        <v>内蒙古自治区</v>
      </c>
    </row>
    <row r="361" spans="14:19">
      <c r="N361" s="4">
        <v>360</v>
      </c>
      <c r="O361" s="4" t="s">
        <v>1256</v>
      </c>
      <c r="P361" s="4">
        <v>28</v>
      </c>
      <c r="Q361" s="4" t="str">
        <f t="shared" si="23"/>
        <v>赤峰市</v>
      </c>
      <c r="R361" s="4">
        <f t="shared" si="21"/>
        <v>5</v>
      </c>
      <c r="S361" s="4" t="str">
        <f t="shared" si="22"/>
        <v>内蒙古自治区</v>
      </c>
    </row>
    <row r="362" spans="14:19">
      <c r="N362" s="4">
        <v>361</v>
      </c>
      <c r="O362" s="4" t="s">
        <v>1257</v>
      </c>
      <c r="P362" s="4">
        <v>29</v>
      </c>
      <c r="Q362" s="4" t="str">
        <f t="shared" si="23"/>
        <v>通辽市</v>
      </c>
      <c r="R362" s="4">
        <f t="shared" si="21"/>
        <v>5</v>
      </c>
      <c r="S362" s="4" t="str">
        <f t="shared" si="22"/>
        <v>内蒙古自治区</v>
      </c>
    </row>
    <row r="363" spans="14:19">
      <c r="N363" s="4">
        <v>362</v>
      </c>
      <c r="O363" s="4" t="s">
        <v>1258</v>
      </c>
      <c r="P363" s="4">
        <v>29</v>
      </c>
      <c r="Q363" s="4" t="str">
        <f t="shared" si="23"/>
        <v>通辽市</v>
      </c>
      <c r="R363" s="4">
        <f t="shared" si="21"/>
        <v>5</v>
      </c>
      <c r="S363" s="4" t="str">
        <f t="shared" si="22"/>
        <v>内蒙古自治区</v>
      </c>
    </row>
    <row r="364" spans="14:19">
      <c r="N364" s="4">
        <v>363</v>
      </c>
      <c r="O364" s="4" t="s">
        <v>1259</v>
      </c>
      <c r="P364" s="4">
        <v>29</v>
      </c>
      <c r="Q364" s="4" t="str">
        <f t="shared" si="23"/>
        <v>通辽市</v>
      </c>
      <c r="R364" s="4">
        <f t="shared" si="21"/>
        <v>5</v>
      </c>
      <c r="S364" s="4" t="str">
        <f t="shared" si="22"/>
        <v>内蒙古自治区</v>
      </c>
    </row>
    <row r="365" spans="14:19">
      <c r="N365" s="4">
        <v>364</v>
      </c>
      <c r="O365" s="4" t="s">
        <v>1260</v>
      </c>
      <c r="P365" s="4">
        <v>29</v>
      </c>
      <c r="Q365" s="4" t="str">
        <f t="shared" si="23"/>
        <v>通辽市</v>
      </c>
      <c r="R365" s="4">
        <f t="shared" si="21"/>
        <v>5</v>
      </c>
      <c r="S365" s="4" t="str">
        <f t="shared" si="22"/>
        <v>内蒙古自治区</v>
      </c>
    </row>
    <row r="366" spans="14:19">
      <c r="N366" s="4">
        <v>365</v>
      </c>
      <c r="O366" s="4" t="s">
        <v>1261</v>
      </c>
      <c r="P366" s="4">
        <v>29</v>
      </c>
      <c r="Q366" s="4" t="str">
        <f t="shared" si="23"/>
        <v>通辽市</v>
      </c>
      <c r="R366" s="4">
        <f t="shared" si="21"/>
        <v>5</v>
      </c>
      <c r="S366" s="4" t="str">
        <f t="shared" si="22"/>
        <v>内蒙古自治区</v>
      </c>
    </row>
    <row r="367" spans="14:19">
      <c r="N367" s="4">
        <v>366</v>
      </c>
      <c r="O367" s="4" t="s">
        <v>1262</v>
      </c>
      <c r="P367" s="4">
        <v>29</v>
      </c>
      <c r="Q367" s="4" t="str">
        <f t="shared" si="23"/>
        <v>通辽市</v>
      </c>
      <c r="R367" s="4">
        <f t="shared" si="21"/>
        <v>5</v>
      </c>
      <c r="S367" s="4" t="str">
        <f t="shared" si="22"/>
        <v>内蒙古自治区</v>
      </c>
    </row>
    <row r="368" spans="14:19">
      <c r="N368" s="4">
        <v>367</v>
      </c>
      <c r="O368" s="4" t="s">
        <v>1263</v>
      </c>
      <c r="P368" s="4">
        <v>29</v>
      </c>
      <c r="Q368" s="4" t="str">
        <f t="shared" si="23"/>
        <v>通辽市</v>
      </c>
      <c r="R368" s="4">
        <f t="shared" si="21"/>
        <v>5</v>
      </c>
      <c r="S368" s="4" t="str">
        <f t="shared" si="22"/>
        <v>内蒙古自治区</v>
      </c>
    </row>
    <row r="369" spans="14:19">
      <c r="N369" s="4">
        <v>368</v>
      </c>
      <c r="O369" s="4" t="s">
        <v>1264</v>
      </c>
      <c r="P369" s="4">
        <v>29</v>
      </c>
      <c r="Q369" s="4" t="str">
        <f t="shared" si="23"/>
        <v>通辽市</v>
      </c>
      <c r="R369" s="4">
        <f t="shared" si="21"/>
        <v>5</v>
      </c>
      <c r="S369" s="4" t="str">
        <f t="shared" si="22"/>
        <v>内蒙古自治区</v>
      </c>
    </row>
    <row r="370" spans="14:19">
      <c r="N370" s="4">
        <v>369</v>
      </c>
      <c r="O370" s="4" t="s">
        <v>1265</v>
      </c>
      <c r="P370" s="4">
        <v>30</v>
      </c>
      <c r="Q370" s="4" t="str">
        <f t="shared" si="23"/>
        <v>鄂尔多斯市</v>
      </c>
      <c r="R370" s="4">
        <f t="shared" si="21"/>
        <v>5</v>
      </c>
      <c r="S370" s="4" t="str">
        <f t="shared" si="22"/>
        <v>内蒙古自治区</v>
      </c>
    </row>
    <row r="371" spans="14:19">
      <c r="N371" s="4">
        <v>370</v>
      </c>
      <c r="O371" s="4" t="s">
        <v>1266</v>
      </c>
      <c r="P371" s="4">
        <v>30</v>
      </c>
      <c r="Q371" s="4" t="str">
        <f t="shared" si="23"/>
        <v>鄂尔多斯市</v>
      </c>
      <c r="R371" s="4">
        <f t="shared" si="21"/>
        <v>5</v>
      </c>
      <c r="S371" s="4" t="str">
        <f t="shared" si="22"/>
        <v>内蒙古自治区</v>
      </c>
    </row>
    <row r="372" spans="14:19">
      <c r="N372" s="4">
        <v>371</v>
      </c>
      <c r="O372" s="4" t="s">
        <v>1267</v>
      </c>
      <c r="P372" s="4">
        <v>30</v>
      </c>
      <c r="Q372" s="4" t="str">
        <f t="shared" si="23"/>
        <v>鄂尔多斯市</v>
      </c>
      <c r="R372" s="4">
        <f t="shared" si="21"/>
        <v>5</v>
      </c>
      <c r="S372" s="4" t="str">
        <f t="shared" si="22"/>
        <v>内蒙古自治区</v>
      </c>
    </row>
    <row r="373" spans="14:19">
      <c r="N373" s="4">
        <v>372</v>
      </c>
      <c r="O373" s="4" t="s">
        <v>1268</v>
      </c>
      <c r="P373" s="4">
        <v>30</v>
      </c>
      <c r="Q373" s="4" t="str">
        <f t="shared" si="23"/>
        <v>鄂尔多斯市</v>
      </c>
      <c r="R373" s="4">
        <f t="shared" si="21"/>
        <v>5</v>
      </c>
      <c r="S373" s="4" t="str">
        <f t="shared" si="22"/>
        <v>内蒙古自治区</v>
      </c>
    </row>
    <row r="374" spans="14:19">
      <c r="N374" s="4">
        <v>373</v>
      </c>
      <c r="O374" s="4" t="s">
        <v>1269</v>
      </c>
      <c r="P374" s="4">
        <v>30</v>
      </c>
      <c r="Q374" s="4" t="str">
        <f t="shared" si="23"/>
        <v>鄂尔多斯市</v>
      </c>
      <c r="R374" s="4">
        <f t="shared" si="21"/>
        <v>5</v>
      </c>
      <c r="S374" s="4" t="str">
        <f t="shared" si="22"/>
        <v>内蒙古自治区</v>
      </c>
    </row>
    <row r="375" spans="14:19">
      <c r="N375" s="4">
        <v>374</v>
      </c>
      <c r="O375" s="4" t="s">
        <v>1270</v>
      </c>
      <c r="P375" s="4">
        <v>30</v>
      </c>
      <c r="Q375" s="4" t="str">
        <f t="shared" si="23"/>
        <v>鄂尔多斯市</v>
      </c>
      <c r="R375" s="4">
        <f t="shared" si="21"/>
        <v>5</v>
      </c>
      <c r="S375" s="4" t="str">
        <f t="shared" si="22"/>
        <v>内蒙古自治区</v>
      </c>
    </row>
    <row r="376" spans="14:19">
      <c r="N376" s="4">
        <v>375</v>
      </c>
      <c r="O376" s="4" t="s">
        <v>1271</v>
      </c>
      <c r="P376" s="4">
        <v>30</v>
      </c>
      <c r="Q376" s="4" t="str">
        <f t="shared" si="23"/>
        <v>鄂尔多斯市</v>
      </c>
      <c r="R376" s="4">
        <f t="shared" si="21"/>
        <v>5</v>
      </c>
      <c r="S376" s="4" t="str">
        <f t="shared" si="22"/>
        <v>内蒙古自治区</v>
      </c>
    </row>
    <row r="377" spans="14:19">
      <c r="N377" s="4">
        <v>376</v>
      </c>
      <c r="O377" s="4" t="s">
        <v>1272</v>
      </c>
      <c r="P377" s="4">
        <v>30</v>
      </c>
      <c r="Q377" s="4" t="str">
        <f t="shared" si="23"/>
        <v>鄂尔多斯市</v>
      </c>
      <c r="R377" s="4">
        <f t="shared" si="21"/>
        <v>5</v>
      </c>
      <c r="S377" s="4" t="str">
        <f t="shared" si="22"/>
        <v>内蒙古自治区</v>
      </c>
    </row>
    <row r="378" spans="14:19">
      <c r="N378" s="4">
        <v>377</v>
      </c>
      <c r="O378" s="4" t="s">
        <v>1273</v>
      </c>
      <c r="P378" s="4">
        <v>31</v>
      </c>
      <c r="Q378" s="4" t="str">
        <f t="shared" si="23"/>
        <v>呼伦贝尔市</v>
      </c>
      <c r="R378" s="4">
        <f t="shared" si="21"/>
        <v>5</v>
      </c>
      <c r="S378" s="4" t="str">
        <f t="shared" si="22"/>
        <v>内蒙古自治区</v>
      </c>
    </row>
    <row r="379" spans="14:19">
      <c r="N379" s="4">
        <v>378</v>
      </c>
      <c r="O379" s="4" t="s">
        <v>1274</v>
      </c>
      <c r="P379" s="4">
        <v>31</v>
      </c>
      <c r="Q379" s="4" t="str">
        <f t="shared" si="23"/>
        <v>呼伦贝尔市</v>
      </c>
      <c r="R379" s="4">
        <f t="shared" si="21"/>
        <v>5</v>
      </c>
      <c r="S379" s="4" t="str">
        <f t="shared" si="22"/>
        <v>内蒙古自治区</v>
      </c>
    </row>
    <row r="380" spans="14:19">
      <c r="N380" s="4">
        <v>379</v>
      </c>
      <c r="O380" s="4" t="s">
        <v>1275</v>
      </c>
      <c r="P380" s="4">
        <v>31</v>
      </c>
      <c r="Q380" s="4" t="str">
        <f t="shared" si="23"/>
        <v>呼伦贝尔市</v>
      </c>
      <c r="R380" s="4">
        <f t="shared" si="21"/>
        <v>5</v>
      </c>
      <c r="S380" s="4" t="str">
        <f t="shared" si="22"/>
        <v>内蒙古自治区</v>
      </c>
    </row>
    <row r="381" spans="14:19">
      <c r="N381" s="4">
        <v>380</v>
      </c>
      <c r="O381" s="4" t="s">
        <v>1276</v>
      </c>
      <c r="P381" s="4">
        <v>31</v>
      </c>
      <c r="Q381" s="4" t="str">
        <f t="shared" si="23"/>
        <v>呼伦贝尔市</v>
      </c>
      <c r="R381" s="4">
        <f t="shared" si="21"/>
        <v>5</v>
      </c>
      <c r="S381" s="4" t="str">
        <f t="shared" si="22"/>
        <v>内蒙古自治区</v>
      </c>
    </row>
    <row r="382" spans="14:19">
      <c r="N382" s="4">
        <v>381</v>
      </c>
      <c r="O382" s="4" t="s">
        <v>1277</v>
      </c>
      <c r="P382" s="4">
        <v>31</v>
      </c>
      <c r="Q382" s="4" t="str">
        <f t="shared" si="23"/>
        <v>呼伦贝尔市</v>
      </c>
      <c r="R382" s="4">
        <f t="shared" si="21"/>
        <v>5</v>
      </c>
      <c r="S382" s="4" t="str">
        <f t="shared" si="22"/>
        <v>内蒙古自治区</v>
      </c>
    </row>
    <row r="383" spans="14:19">
      <c r="N383" s="4">
        <v>382</v>
      </c>
      <c r="O383" s="4" t="s">
        <v>1278</v>
      </c>
      <c r="P383" s="4">
        <v>31</v>
      </c>
      <c r="Q383" s="4" t="str">
        <f t="shared" si="23"/>
        <v>呼伦贝尔市</v>
      </c>
      <c r="R383" s="4">
        <f t="shared" si="21"/>
        <v>5</v>
      </c>
      <c r="S383" s="4" t="str">
        <f t="shared" si="22"/>
        <v>内蒙古自治区</v>
      </c>
    </row>
    <row r="384" spans="14:19">
      <c r="N384" s="4">
        <v>383</v>
      </c>
      <c r="O384" s="4" t="s">
        <v>1279</v>
      </c>
      <c r="P384" s="4">
        <v>31</v>
      </c>
      <c r="Q384" s="4" t="str">
        <f t="shared" si="23"/>
        <v>呼伦贝尔市</v>
      </c>
      <c r="R384" s="4">
        <f t="shared" si="21"/>
        <v>5</v>
      </c>
      <c r="S384" s="4" t="str">
        <f t="shared" si="22"/>
        <v>内蒙古自治区</v>
      </c>
    </row>
    <row r="385" spans="14:19">
      <c r="N385" s="4">
        <v>384</v>
      </c>
      <c r="O385" s="4" t="s">
        <v>1280</v>
      </c>
      <c r="P385" s="4">
        <v>31</v>
      </c>
      <c r="Q385" s="4" t="str">
        <f t="shared" si="23"/>
        <v>呼伦贝尔市</v>
      </c>
      <c r="R385" s="4">
        <f t="shared" si="21"/>
        <v>5</v>
      </c>
      <c r="S385" s="4" t="str">
        <f t="shared" si="22"/>
        <v>内蒙古自治区</v>
      </c>
    </row>
    <row r="386" spans="14:19">
      <c r="N386" s="4">
        <v>385</v>
      </c>
      <c r="O386" s="4" t="s">
        <v>1281</v>
      </c>
      <c r="P386" s="4">
        <v>31</v>
      </c>
      <c r="Q386" s="4" t="str">
        <f t="shared" si="23"/>
        <v>呼伦贝尔市</v>
      </c>
      <c r="R386" s="4">
        <f t="shared" ref="R386:R449" si="24">VLOOKUP(P386,$I$2:$M$346,3,FALSE)</f>
        <v>5</v>
      </c>
      <c r="S386" s="4" t="str">
        <f t="shared" ref="S386:S449" si="25">VLOOKUP(P386,$I$2:$M$346,4,FALSE)</f>
        <v>内蒙古自治区</v>
      </c>
    </row>
    <row r="387" spans="14:19">
      <c r="N387" s="4">
        <v>386</v>
      </c>
      <c r="O387" s="4" t="s">
        <v>1282</v>
      </c>
      <c r="P387" s="4">
        <v>31</v>
      </c>
      <c r="Q387" s="4" t="str">
        <f t="shared" ref="Q387:Q450" si="26">VLOOKUP(P387,$I$2:$J$346,2,FALSE)</f>
        <v>呼伦贝尔市</v>
      </c>
      <c r="R387" s="4">
        <f t="shared" si="24"/>
        <v>5</v>
      </c>
      <c r="S387" s="4" t="str">
        <f t="shared" si="25"/>
        <v>内蒙古自治区</v>
      </c>
    </row>
    <row r="388" spans="14:19">
      <c r="N388" s="4">
        <v>387</v>
      </c>
      <c r="O388" s="4" t="s">
        <v>1283</v>
      </c>
      <c r="P388" s="4">
        <v>31</v>
      </c>
      <c r="Q388" s="4" t="str">
        <f t="shared" si="26"/>
        <v>呼伦贝尔市</v>
      </c>
      <c r="R388" s="4">
        <f t="shared" si="24"/>
        <v>5</v>
      </c>
      <c r="S388" s="4" t="str">
        <f t="shared" si="25"/>
        <v>内蒙古自治区</v>
      </c>
    </row>
    <row r="389" spans="14:19">
      <c r="N389" s="4">
        <v>388</v>
      </c>
      <c r="O389" s="4" t="s">
        <v>1284</v>
      </c>
      <c r="P389" s="4">
        <v>31</v>
      </c>
      <c r="Q389" s="4" t="str">
        <f t="shared" si="26"/>
        <v>呼伦贝尔市</v>
      </c>
      <c r="R389" s="4">
        <f t="shared" si="24"/>
        <v>5</v>
      </c>
      <c r="S389" s="4" t="str">
        <f t="shared" si="25"/>
        <v>内蒙古自治区</v>
      </c>
    </row>
    <row r="390" spans="14:19">
      <c r="N390" s="4">
        <v>389</v>
      </c>
      <c r="O390" s="4" t="s">
        <v>1285</v>
      </c>
      <c r="P390" s="4">
        <v>31</v>
      </c>
      <c r="Q390" s="4" t="str">
        <f t="shared" si="26"/>
        <v>呼伦贝尔市</v>
      </c>
      <c r="R390" s="4">
        <f t="shared" si="24"/>
        <v>5</v>
      </c>
      <c r="S390" s="4" t="str">
        <f t="shared" si="25"/>
        <v>内蒙古自治区</v>
      </c>
    </row>
    <row r="391" spans="14:19">
      <c r="N391" s="4">
        <v>390</v>
      </c>
      <c r="O391" s="4" t="s">
        <v>1286</v>
      </c>
      <c r="P391" s="4">
        <v>32</v>
      </c>
      <c r="Q391" s="4" t="str">
        <f t="shared" si="26"/>
        <v>巴彦淖尔市</v>
      </c>
      <c r="R391" s="4">
        <f t="shared" si="24"/>
        <v>5</v>
      </c>
      <c r="S391" s="4" t="str">
        <f t="shared" si="25"/>
        <v>内蒙古自治区</v>
      </c>
    </row>
    <row r="392" spans="14:19">
      <c r="N392" s="4">
        <v>391</v>
      </c>
      <c r="O392" s="4" t="s">
        <v>1287</v>
      </c>
      <c r="P392" s="4">
        <v>32</v>
      </c>
      <c r="Q392" s="4" t="str">
        <f t="shared" si="26"/>
        <v>巴彦淖尔市</v>
      </c>
      <c r="R392" s="4">
        <f t="shared" si="24"/>
        <v>5</v>
      </c>
      <c r="S392" s="4" t="str">
        <f t="shared" si="25"/>
        <v>内蒙古自治区</v>
      </c>
    </row>
    <row r="393" spans="14:19">
      <c r="N393" s="4">
        <v>392</v>
      </c>
      <c r="O393" s="4" t="s">
        <v>1288</v>
      </c>
      <c r="P393" s="4">
        <v>32</v>
      </c>
      <c r="Q393" s="4" t="str">
        <f t="shared" si="26"/>
        <v>巴彦淖尔市</v>
      </c>
      <c r="R393" s="4">
        <f t="shared" si="24"/>
        <v>5</v>
      </c>
      <c r="S393" s="4" t="str">
        <f t="shared" si="25"/>
        <v>内蒙古自治区</v>
      </c>
    </row>
    <row r="394" spans="14:19">
      <c r="N394" s="4">
        <v>393</v>
      </c>
      <c r="O394" s="4" t="s">
        <v>1289</v>
      </c>
      <c r="P394" s="4">
        <v>32</v>
      </c>
      <c r="Q394" s="4" t="str">
        <f t="shared" si="26"/>
        <v>巴彦淖尔市</v>
      </c>
      <c r="R394" s="4">
        <f t="shared" si="24"/>
        <v>5</v>
      </c>
      <c r="S394" s="4" t="str">
        <f t="shared" si="25"/>
        <v>内蒙古自治区</v>
      </c>
    </row>
    <row r="395" spans="14:19">
      <c r="N395" s="4">
        <v>394</v>
      </c>
      <c r="O395" s="4" t="s">
        <v>1290</v>
      </c>
      <c r="P395" s="4">
        <v>32</v>
      </c>
      <c r="Q395" s="4" t="str">
        <f t="shared" si="26"/>
        <v>巴彦淖尔市</v>
      </c>
      <c r="R395" s="4">
        <f t="shared" si="24"/>
        <v>5</v>
      </c>
      <c r="S395" s="4" t="str">
        <f t="shared" si="25"/>
        <v>内蒙古自治区</v>
      </c>
    </row>
    <row r="396" spans="14:19">
      <c r="N396" s="4">
        <v>395</v>
      </c>
      <c r="O396" s="4" t="s">
        <v>1291</v>
      </c>
      <c r="P396" s="4">
        <v>32</v>
      </c>
      <c r="Q396" s="4" t="str">
        <f t="shared" si="26"/>
        <v>巴彦淖尔市</v>
      </c>
      <c r="R396" s="4">
        <f t="shared" si="24"/>
        <v>5</v>
      </c>
      <c r="S396" s="4" t="str">
        <f t="shared" si="25"/>
        <v>内蒙古自治区</v>
      </c>
    </row>
    <row r="397" spans="14:19">
      <c r="N397" s="4">
        <v>396</v>
      </c>
      <c r="O397" s="4" t="s">
        <v>1292</v>
      </c>
      <c r="P397" s="4">
        <v>32</v>
      </c>
      <c r="Q397" s="4" t="str">
        <f t="shared" si="26"/>
        <v>巴彦淖尔市</v>
      </c>
      <c r="R397" s="4">
        <f t="shared" si="24"/>
        <v>5</v>
      </c>
      <c r="S397" s="4" t="str">
        <f t="shared" si="25"/>
        <v>内蒙古自治区</v>
      </c>
    </row>
    <row r="398" spans="14:19">
      <c r="N398" s="4">
        <v>397</v>
      </c>
      <c r="O398" s="4" t="s">
        <v>1293</v>
      </c>
      <c r="P398" s="4">
        <v>33</v>
      </c>
      <c r="Q398" s="4" t="str">
        <f t="shared" si="26"/>
        <v>乌兰察布市</v>
      </c>
      <c r="R398" s="4">
        <f t="shared" si="24"/>
        <v>5</v>
      </c>
      <c r="S398" s="4" t="str">
        <f t="shared" si="25"/>
        <v>内蒙古自治区</v>
      </c>
    </row>
    <row r="399" spans="14:19">
      <c r="N399" s="4">
        <v>398</v>
      </c>
      <c r="O399" s="4" t="s">
        <v>1294</v>
      </c>
      <c r="P399" s="4">
        <v>33</v>
      </c>
      <c r="Q399" s="4" t="str">
        <f t="shared" si="26"/>
        <v>乌兰察布市</v>
      </c>
      <c r="R399" s="4">
        <f t="shared" si="24"/>
        <v>5</v>
      </c>
      <c r="S399" s="4" t="str">
        <f t="shared" si="25"/>
        <v>内蒙古自治区</v>
      </c>
    </row>
    <row r="400" spans="14:19">
      <c r="N400" s="4">
        <v>399</v>
      </c>
      <c r="O400" s="4" t="s">
        <v>1295</v>
      </c>
      <c r="P400" s="4">
        <v>33</v>
      </c>
      <c r="Q400" s="4" t="str">
        <f t="shared" si="26"/>
        <v>乌兰察布市</v>
      </c>
      <c r="R400" s="4">
        <f t="shared" si="24"/>
        <v>5</v>
      </c>
      <c r="S400" s="4" t="str">
        <f t="shared" si="25"/>
        <v>内蒙古自治区</v>
      </c>
    </row>
    <row r="401" spans="14:19">
      <c r="N401" s="4">
        <v>400</v>
      </c>
      <c r="O401" s="4" t="s">
        <v>1296</v>
      </c>
      <c r="P401" s="4">
        <v>33</v>
      </c>
      <c r="Q401" s="4" t="str">
        <f t="shared" si="26"/>
        <v>乌兰察布市</v>
      </c>
      <c r="R401" s="4">
        <f t="shared" si="24"/>
        <v>5</v>
      </c>
      <c r="S401" s="4" t="str">
        <f t="shared" si="25"/>
        <v>内蒙古自治区</v>
      </c>
    </row>
    <row r="402" spans="14:19">
      <c r="N402" s="4">
        <v>401</v>
      </c>
      <c r="O402" s="4" t="s">
        <v>1297</v>
      </c>
      <c r="P402" s="4">
        <v>33</v>
      </c>
      <c r="Q402" s="4" t="str">
        <f t="shared" si="26"/>
        <v>乌兰察布市</v>
      </c>
      <c r="R402" s="4">
        <f t="shared" si="24"/>
        <v>5</v>
      </c>
      <c r="S402" s="4" t="str">
        <f t="shared" si="25"/>
        <v>内蒙古自治区</v>
      </c>
    </row>
    <row r="403" spans="14:19">
      <c r="N403" s="4">
        <v>402</v>
      </c>
      <c r="O403" s="4" t="s">
        <v>1298</v>
      </c>
      <c r="P403" s="4">
        <v>33</v>
      </c>
      <c r="Q403" s="4" t="str">
        <f t="shared" si="26"/>
        <v>乌兰察布市</v>
      </c>
      <c r="R403" s="4">
        <f t="shared" si="24"/>
        <v>5</v>
      </c>
      <c r="S403" s="4" t="str">
        <f t="shared" si="25"/>
        <v>内蒙古自治区</v>
      </c>
    </row>
    <row r="404" spans="14:19">
      <c r="N404" s="4">
        <v>403</v>
      </c>
      <c r="O404" s="4" t="s">
        <v>1299</v>
      </c>
      <c r="P404" s="4">
        <v>33</v>
      </c>
      <c r="Q404" s="4" t="str">
        <f t="shared" si="26"/>
        <v>乌兰察布市</v>
      </c>
      <c r="R404" s="4">
        <f t="shared" si="24"/>
        <v>5</v>
      </c>
      <c r="S404" s="4" t="str">
        <f t="shared" si="25"/>
        <v>内蒙古自治区</v>
      </c>
    </row>
    <row r="405" spans="14:19">
      <c r="N405" s="4">
        <v>404</v>
      </c>
      <c r="O405" s="4" t="s">
        <v>1300</v>
      </c>
      <c r="P405" s="4">
        <v>33</v>
      </c>
      <c r="Q405" s="4" t="str">
        <f t="shared" si="26"/>
        <v>乌兰察布市</v>
      </c>
      <c r="R405" s="4">
        <f t="shared" si="24"/>
        <v>5</v>
      </c>
      <c r="S405" s="4" t="str">
        <f t="shared" si="25"/>
        <v>内蒙古自治区</v>
      </c>
    </row>
    <row r="406" spans="14:19">
      <c r="N406" s="4">
        <v>405</v>
      </c>
      <c r="O406" s="4" t="s">
        <v>1301</v>
      </c>
      <c r="P406" s="4">
        <v>33</v>
      </c>
      <c r="Q406" s="4" t="str">
        <f t="shared" si="26"/>
        <v>乌兰察布市</v>
      </c>
      <c r="R406" s="4">
        <f t="shared" si="24"/>
        <v>5</v>
      </c>
      <c r="S406" s="4" t="str">
        <f t="shared" si="25"/>
        <v>内蒙古自治区</v>
      </c>
    </row>
    <row r="407" spans="14:19">
      <c r="N407" s="4">
        <v>406</v>
      </c>
      <c r="O407" s="4" t="s">
        <v>1302</v>
      </c>
      <c r="P407" s="4">
        <v>33</v>
      </c>
      <c r="Q407" s="4" t="str">
        <f t="shared" si="26"/>
        <v>乌兰察布市</v>
      </c>
      <c r="R407" s="4">
        <f t="shared" si="24"/>
        <v>5</v>
      </c>
      <c r="S407" s="4" t="str">
        <f t="shared" si="25"/>
        <v>内蒙古自治区</v>
      </c>
    </row>
    <row r="408" spans="14:19">
      <c r="N408" s="4">
        <v>407</v>
      </c>
      <c r="O408" s="4" t="s">
        <v>1303</v>
      </c>
      <c r="P408" s="4">
        <v>33</v>
      </c>
      <c r="Q408" s="4" t="str">
        <f t="shared" si="26"/>
        <v>乌兰察布市</v>
      </c>
      <c r="R408" s="4">
        <f t="shared" si="24"/>
        <v>5</v>
      </c>
      <c r="S408" s="4" t="str">
        <f t="shared" si="25"/>
        <v>内蒙古自治区</v>
      </c>
    </row>
    <row r="409" spans="14:19">
      <c r="N409" s="4">
        <v>408</v>
      </c>
      <c r="O409" s="4" t="s">
        <v>1304</v>
      </c>
      <c r="P409" s="4">
        <v>34</v>
      </c>
      <c r="Q409" s="4" t="str">
        <f t="shared" si="26"/>
        <v>兴安盟</v>
      </c>
      <c r="R409" s="4">
        <f t="shared" si="24"/>
        <v>5</v>
      </c>
      <c r="S409" s="4" t="str">
        <f t="shared" si="25"/>
        <v>内蒙古自治区</v>
      </c>
    </row>
    <row r="410" spans="14:19">
      <c r="N410" s="4">
        <v>409</v>
      </c>
      <c r="O410" s="4" t="s">
        <v>1305</v>
      </c>
      <c r="P410" s="4">
        <v>34</v>
      </c>
      <c r="Q410" s="4" t="str">
        <f t="shared" si="26"/>
        <v>兴安盟</v>
      </c>
      <c r="R410" s="4">
        <f t="shared" si="24"/>
        <v>5</v>
      </c>
      <c r="S410" s="4" t="str">
        <f t="shared" si="25"/>
        <v>内蒙古自治区</v>
      </c>
    </row>
    <row r="411" spans="14:19">
      <c r="N411" s="4">
        <v>410</v>
      </c>
      <c r="O411" s="4" t="s">
        <v>1306</v>
      </c>
      <c r="P411" s="4">
        <v>34</v>
      </c>
      <c r="Q411" s="4" t="str">
        <f t="shared" si="26"/>
        <v>兴安盟</v>
      </c>
      <c r="R411" s="4">
        <f t="shared" si="24"/>
        <v>5</v>
      </c>
      <c r="S411" s="4" t="str">
        <f t="shared" si="25"/>
        <v>内蒙古自治区</v>
      </c>
    </row>
    <row r="412" spans="14:19">
      <c r="N412" s="4">
        <v>411</v>
      </c>
      <c r="O412" s="4" t="s">
        <v>1307</v>
      </c>
      <c r="P412" s="4">
        <v>34</v>
      </c>
      <c r="Q412" s="4" t="str">
        <f t="shared" si="26"/>
        <v>兴安盟</v>
      </c>
      <c r="R412" s="4">
        <f t="shared" si="24"/>
        <v>5</v>
      </c>
      <c r="S412" s="4" t="str">
        <f t="shared" si="25"/>
        <v>内蒙古自治区</v>
      </c>
    </row>
    <row r="413" spans="14:19">
      <c r="N413" s="4">
        <v>412</v>
      </c>
      <c r="O413" s="4" t="s">
        <v>1308</v>
      </c>
      <c r="P413" s="4">
        <v>34</v>
      </c>
      <c r="Q413" s="4" t="str">
        <f t="shared" si="26"/>
        <v>兴安盟</v>
      </c>
      <c r="R413" s="4">
        <f t="shared" si="24"/>
        <v>5</v>
      </c>
      <c r="S413" s="4" t="str">
        <f t="shared" si="25"/>
        <v>内蒙古自治区</v>
      </c>
    </row>
    <row r="414" spans="14:19">
      <c r="N414" s="4">
        <v>413</v>
      </c>
      <c r="O414" s="4" t="s">
        <v>1309</v>
      </c>
      <c r="P414" s="4">
        <v>34</v>
      </c>
      <c r="Q414" s="4" t="str">
        <f t="shared" si="26"/>
        <v>兴安盟</v>
      </c>
      <c r="R414" s="4">
        <f t="shared" si="24"/>
        <v>5</v>
      </c>
      <c r="S414" s="4" t="str">
        <f t="shared" si="25"/>
        <v>内蒙古自治区</v>
      </c>
    </row>
    <row r="415" spans="14:19">
      <c r="N415" s="4">
        <v>414</v>
      </c>
      <c r="O415" s="4" t="s">
        <v>1310</v>
      </c>
      <c r="P415" s="4">
        <v>35</v>
      </c>
      <c r="Q415" s="4" t="str">
        <f t="shared" si="26"/>
        <v>锡林郭勒盟</v>
      </c>
      <c r="R415" s="4">
        <f t="shared" si="24"/>
        <v>5</v>
      </c>
      <c r="S415" s="4" t="str">
        <f t="shared" si="25"/>
        <v>内蒙古自治区</v>
      </c>
    </row>
    <row r="416" spans="14:19">
      <c r="N416" s="4">
        <v>415</v>
      </c>
      <c r="O416" s="4" t="s">
        <v>1311</v>
      </c>
      <c r="P416" s="4">
        <v>35</v>
      </c>
      <c r="Q416" s="4" t="str">
        <f t="shared" si="26"/>
        <v>锡林郭勒盟</v>
      </c>
      <c r="R416" s="4">
        <f t="shared" si="24"/>
        <v>5</v>
      </c>
      <c r="S416" s="4" t="str">
        <f t="shared" si="25"/>
        <v>内蒙古自治区</v>
      </c>
    </row>
    <row r="417" spans="14:19">
      <c r="N417" s="4">
        <v>416</v>
      </c>
      <c r="O417" s="4" t="s">
        <v>1312</v>
      </c>
      <c r="P417" s="4">
        <v>35</v>
      </c>
      <c r="Q417" s="4" t="str">
        <f t="shared" si="26"/>
        <v>锡林郭勒盟</v>
      </c>
      <c r="R417" s="4">
        <f t="shared" si="24"/>
        <v>5</v>
      </c>
      <c r="S417" s="4" t="str">
        <f t="shared" si="25"/>
        <v>内蒙古自治区</v>
      </c>
    </row>
    <row r="418" spans="14:19">
      <c r="N418" s="4">
        <v>417</v>
      </c>
      <c r="O418" s="4" t="s">
        <v>1313</v>
      </c>
      <c r="P418" s="4">
        <v>35</v>
      </c>
      <c r="Q418" s="4" t="str">
        <f t="shared" si="26"/>
        <v>锡林郭勒盟</v>
      </c>
      <c r="R418" s="4">
        <f t="shared" si="24"/>
        <v>5</v>
      </c>
      <c r="S418" s="4" t="str">
        <f t="shared" si="25"/>
        <v>内蒙古自治区</v>
      </c>
    </row>
    <row r="419" spans="14:19">
      <c r="N419" s="4">
        <v>418</v>
      </c>
      <c r="O419" s="4" t="s">
        <v>1314</v>
      </c>
      <c r="P419" s="4">
        <v>35</v>
      </c>
      <c r="Q419" s="4" t="str">
        <f t="shared" si="26"/>
        <v>锡林郭勒盟</v>
      </c>
      <c r="R419" s="4">
        <f t="shared" si="24"/>
        <v>5</v>
      </c>
      <c r="S419" s="4" t="str">
        <f t="shared" si="25"/>
        <v>内蒙古自治区</v>
      </c>
    </row>
    <row r="420" spans="14:19">
      <c r="N420" s="4">
        <v>419</v>
      </c>
      <c r="O420" s="4" t="s">
        <v>1315</v>
      </c>
      <c r="P420" s="4">
        <v>35</v>
      </c>
      <c r="Q420" s="4" t="str">
        <f t="shared" si="26"/>
        <v>锡林郭勒盟</v>
      </c>
      <c r="R420" s="4">
        <f t="shared" si="24"/>
        <v>5</v>
      </c>
      <c r="S420" s="4" t="str">
        <f t="shared" si="25"/>
        <v>内蒙古自治区</v>
      </c>
    </row>
    <row r="421" spans="14:19">
      <c r="N421" s="4">
        <v>420</v>
      </c>
      <c r="O421" s="4" t="s">
        <v>1316</v>
      </c>
      <c r="P421" s="4">
        <v>35</v>
      </c>
      <c r="Q421" s="4" t="str">
        <f t="shared" si="26"/>
        <v>锡林郭勒盟</v>
      </c>
      <c r="R421" s="4">
        <f t="shared" si="24"/>
        <v>5</v>
      </c>
      <c r="S421" s="4" t="str">
        <f t="shared" si="25"/>
        <v>内蒙古自治区</v>
      </c>
    </row>
    <row r="422" spans="14:19">
      <c r="N422" s="4">
        <v>421</v>
      </c>
      <c r="O422" s="4" t="s">
        <v>1317</v>
      </c>
      <c r="P422" s="4">
        <v>35</v>
      </c>
      <c r="Q422" s="4" t="str">
        <f t="shared" si="26"/>
        <v>锡林郭勒盟</v>
      </c>
      <c r="R422" s="4">
        <f t="shared" si="24"/>
        <v>5</v>
      </c>
      <c r="S422" s="4" t="str">
        <f t="shared" si="25"/>
        <v>内蒙古自治区</v>
      </c>
    </row>
    <row r="423" spans="14:19">
      <c r="N423" s="4">
        <v>422</v>
      </c>
      <c r="O423" s="4" t="s">
        <v>1318</v>
      </c>
      <c r="P423" s="4">
        <v>35</v>
      </c>
      <c r="Q423" s="4" t="str">
        <f t="shared" si="26"/>
        <v>锡林郭勒盟</v>
      </c>
      <c r="R423" s="4">
        <f t="shared" si="24"/>
        <v>5</v>
      </c>
      <c r="S423" s="4" t="str">
        <f t="shared" si="25"/>
        <v>内蒙古自治区</v>
      </c>
    </row>
    <row r="424" spans="14:19">
      <c r="N424" s="4">
        <v>423</v>
      </c>
      <c r="O424" s="4" t="s">
        <v>1319</v>
      </c>
      <c r="P424" s="4">
        <v>35</v>
      </c>
      <c r="Q424" s="4" t="str">
        <f t="shared" si="26"/>
        <v>锡林郭勒盟</v>
      </c>
      <c r="R424" s="4">
        <f t="shared" si="24"/>
        <v>5</v>
      </c>
      <c r="S424" s="4" t="str">
        <f t="shared" si="25"/>
        <v>内蒙古自治区</v>
      </c>
    </row>
    <row r="425" spans="14:19">
      <c r="N425" s="4">
        <v>424</v>
      </c>
      <c r="O425" s="4" t="s">
        <v>1320</v>
      </c>
      <c r="P425" s="4">
        <v>35</v>
      </c>
      <c r="Q425" s="4" t="str">
        <f t="shared" si="26"/>
        <v>锡林郭勒盟</v>
      </c>
      <c r="R425" s="4">
        <f t="shared" si="24"/>
        <v>5</v>
      </c>
      <c r="S425" s="4" t="str">
        <f t="shared" si="25"/>
        <v>内蒙古自治区</v>
      </c>
    </row>
    <row r="426" spans="14:19">
      <c r="N426" s="4">
        <v>425</v>
      </c>
      <c r="O426" s="4" t="s">
        <v>1321</v>
      </c>
      <c r="P426" s="4">
        <v>35</v>
      </c>
      <c r="Q426" s="4" t="str">
        <f t="shared" si="26"/>
        <v>锡林郭勒盟</v>
      </c>
      <c r="R426" s="4">
        <f t="shared" si="24"/>
        <v>5</v>
      </c>
      <c r="S426" s="4" t="str">
        <f t="shared" si="25"/>
        <v>内蒙古自治区</v>
      </c>
    </row>
    <row r="427" spans="14:19">
      <c r="N427" s="4">
        <v>426</v>
      </c>
      <c r="O427" s="4" t="s">
        <v>1322</v>
      </c>
      <c r="P427" s="4">
        <v>36</v>
      </c>
      <c r="Q427" s="4" t="str">
        <f t="shared" si="26"/>
        <v>阿拉善盟</v>
      </c>
      <c r="R427" s="4">
        <f t="shared" si="24"/>
        <v>5</v>
      </c>
      <c r="S427" s="4" t="str">
        <f t="shared" si="25"/>
        <v>内蒙古自治区</v>
      </c>
    </row>
    <row r="428" spans="14:19">
      <c r="N428" s="4">
        <v>427</v>
      </c>
      <c r="O428" s="4" t="s">
        <v>1323</v>
      </c>
      <c r="P428" s="4">
        <v>36</v>
      </c>
      <c r="Q428" s="4" t="str">
        <f t="shared" si="26"/>
        <v>阿拉善盟</v>
      </c>
      <c r="R428" s="4">
        <f t="shared" si="24"/>
        <v>5</v>
      </c>
      <c r="S428" s="4" t="str">
        <f t="shared" si="25"/>
        <v>内蒙古自治区</v>
      </c>
    </row>
    <row r="429" spans="14:19">
      <c r="N429" s="4">
        <v>428</v>
      </c>
      <c r="O429" s="4" t="s">
        <v>1324</v>
      </c>
      <c r="P429" s="4">
        <v>36</v>
      </c>
      <c r="Q429" s="4" t="str">
        <f t="shared" si="26"/>
        <v>阿拉善盟</v>
      </c>
      <c r="R429" s="4">
        <f t="shared" si="24"/>
        <v>5</v>
      </c>
      <c r="S429" s="4" t="str">
        <f t="shared" si="25"/>
        <v>内蒙古自治区</v>
      </c>
    </row>
    <row r="430" spans="14:19">
      <c r="N430" s="4">
        <v>429</v>
      </c>
      <c r="O430" s="4" t="s">
        <v>234</v>
      </c>
      <c r="P430" s="4">
        <v>37</v>
      </c>
      <c r="Q430" s="4" t="str">
        <f t="shared" si="26"/>
        <v>沈阳市</v>
      </c>
      <c r="R430" s="4">
        <f t="shared" si="24"/>
        <v>6</v>
      </c>
      <c r="S430" s="4" t="str">
        <f t="shared" si="25"/>
        <v>辽宁省</v>
      </c>
    </row>
    <row r="431" spans="14:19">
      <c r="N431" s="4">
        <v>430</v>
      </c>
      <c r="O431" s="4" t="s">
        <v>1325</v>
      </c>
      <c r="P431" s="4">
        <v>37</v>
      </c>
      <c r="Q431" s="4" t="str">
        <f t="shared" si="26"/>
        <v>沈阳市</v>
      </c>
      <c r="R431" s="4">
        <f t="shared" si="24"/>
        <v>6</v>
      </c>
      <c r="S431" s="4" t="str">
        <f t="shared" si="25"/>
        <v>辽宁省</v>
      </c>
    </row>
    <row r="432" spans="14:19">
      <c r="N432" s="4">
        <v>431</v>
      </c>
      <c r="O432" s="4" t="s">
        <v>1326</v>
      </c>
      <c r="P432" s="4">
        <v>37</v>
      </c>
      <c r="Q432" s="4" t="str">
        <f t="shared" si="26"/>
        <v>沈阳市</v>
      </c>
      <c r="R432" s="4">
        <f t="shared" si="24"/>
        <v>6</v>
      </c>
      <c r="S432" s="4" t="str">
        <f t="shared" si="25"/>
        <v>辽宁省</v>
      </c>
    </row>
    <row r="433" spans="14:19">
      <c r="N433" s="4">
        <v>432</v>
      </c>
      <c r="O433" s="4" t="s">
        <v>1327</v>
      </c>
      <c r="P433" s="4">
        <v>37</v>
      </c>
      <c r="Q433" s="4" t="str">
        <f t="shared" si="26"/>
        <v>沈阳市</v>
      </c>
      <c r="R433" s="4">
        <f t="shared" si="24"/>
        <v>6</v>
      </c>
      <c r="S433" s="4" t="str">
        <f t="shared" si="25"/>
        <v>辽宁省</v>
      </c>
    </row>
    <row r="434" spans="14:19">
      <c r="N434" s="4">
        <v>433</v>
      </c>
      <c r="O434" s="4" t="s">
        <v>1328</v>
      </c>
      <c r="P434" s="4">
        <v>37</v>
      </c>
      <c r="Q434" s="4" t="str">
        <f t="shared" si="26"/>
        <v>沈阳市</v>
      </c>
      <c r="R434" s="4">
        <f t="shared" si="24"/>
        <v>6</v>
      </c>
      <c r="S434" s="4" t="str">
        <f t="shared" si="25"/>
        <v>辽宁省</v>
      </c>
    </row>
    <row r="435" spans="14:19">
      <c r="N435" s="4">
        <v>434</v>
      </c>
      <c r="O435" s="4" t="s">
        <v>1329</v>
      </c>
      <c r="P435" s="4">
        <v>37</v>
      </c>
      <c r="Q435" s="4" t="str">
        <f t="shared" si="26"/>
        <v>沈阳市</v>
      </c>
      <c r="R435" s="4">
        <f t="shared" si="24"/>
        <v>6</v>
      </c>
      <c r="S435" s="4" t="str">
        <f t="shared" si="25"/>
        <v>辽宁省</v>
      </c>
    </row>
    <row r="436" spans="14:19">
      <c r="N436" s="4">
        <v>435</v>
      </c>
      <c r="O436" s="4" t="s">
        <v>1330</v>
      </c>
      <c r="P436" s="4">
        <v>37</v>
      </c>
      <c r="Q436" s="4" t="str">
        <f t="shared" si="26"/>
        <v>沈阳市</v>
      </c>
      <c r="R436" s="4">
        <f t="shared" si="24"/>
        <v>6</v>
      </c>
      <c r="S436" s="4" t="str">
        <f t="shared" si="25"/>
        <v>辽宁省</v>
      </c>
    </row>
    <row r="437" spans="14:19">
      <c r="N437" s="4">
        <v>436</v>
      </c>
      <c r="O437" s="4" t="s">
        <v>1331</v>
      </c>
      <c r="P437" s="4">
        <v>37</v>
      </c>
      <c r="Q437" s="4" t="str">
        <f t="shared" si="26"/>
        <v>沈阳市</v>
      </c>
      <c r="R437" s="4">
        <f t="shared" si="24"/>
        <v>6</v>
      </c>
      <c r="S437" s="4" t="str">
        <f t="shared" si="25"/>
        <v>辽宁省</v>
      </c>
    </row>
    <row r="438" spans="14:19">
      <c r="N438" s="4">
        <v>437</v>
      </c>
      <c r="O438" s="4" t="s">
        <v>1332</v>
      </c>
      <c r="P438" s="4">
        <v>37</v>
      </c>
      <c r="Q438" s="4" t="str">
        <f t="shared" si="26"/>
        <v>沈阳市</v>
      </c>
      <c r="R438" s="4">
        <f t="shared" si="24"/>
        <v>6</v>
      </c>
      <c r="S438" s="4" t="str">
        <f t="shared" si="25"/>
        <v>辽宁省</v>
      </c>
    </row>
    <row r="439" spans="14:19">
      <c r="N439" s="4">
        <v>438</v>
      </c>
      <c r="O439" s="4" t="s">
        <v>1333</v>
      </c>
      <c r="P439" s="4">
        <v>37</v>
      </c>
      <c r="Q439" s="4" t="str">
        <f t="shared" si="26"/>
        <v>沈阳市</v>
      </c>
      <c r="R439" s="4">
        <f t="shared" si="24"/>
        <v>6</v>
      </c>
      <c r="S439" s="4" t="str">
        <f t="shared" si="25"/>
        <v>辽宁省</v>
      </c>
    </row>
    <row r="440" spans="14:19">
      <c r="N440" s="4">
        <v>439</v>
      </c>
      <c r="O440" s="4" t="s">
        <v>1334</v>
      </c>
      <c r="P440" s="4">
        <v>37</v>
      </c>
      <c r="Q440" s="4" t="str">
        <f t="shared" si="26"/>
        <v>沈阳市</v>
      </c>
      <c r="R440" s="4">
        <f t="shared" si="24"/>
        <v>6</v>
      </c>
      <c r="S440" s="4" t="str">
        <f t="shared" si="25"/>
        <v>辽宁省</v>
      </c>
    </row>
    <row r="441" spans="14:19">
      <c r="N441" s="4">
        <v>440</v>
      </c>
      <c r="O441" s="4" t="s">
        <v>1335</v>
      </c>
      <c r="P441" s="4">
        <v>37</v>
      </c>
      <c r="Q441" s="4" t="str">
        <f t="shared" si="26"/>
        <v>沈阳市</v>
      </c>
      <c r="R441" s="4">
        <f t="shared" si="24"/>
        <v>6</v>
      </c>
      <c r="S441" s="4" t="str">
        <f t="shared" si="25"/>
        <v>辽宁省</v>
      </c>
    </row>
    <row r="442" spans="14:19">
      <c r="N442" s="4">
        <v>441</v>
      </c>
      <c r="O442" s="4" t="s">
        <v>1336</v>
      </c>
      <c r="P442" s="4">
        <v>37</v>
      </c>
      <c r="Q442" s="4" t="str">
        <f t="shared" si="26"/>
        <v>沈阳市</v>
      </c>
      <c r="R442" s="4">
        <f t="shared" si="24"/>
        <v>6</v>
      </c>
      <c r="S442" s="4" t="str">
        <f t="shared" si="25"/>
        <v>辽宁省</v>
      </c>
    </row>
    <row r="443" spans="14:19">
      <c r="N443" s="4">
        <v>442</v>
      </c>
      <c r="O443" s="4" t="s">
        <v>1337</v>
      </c>
      <c r="P443" s="4">
        <v>38</v>
      </c>
      <c r="Q443" s="4" t="str">
        <f t="shared" si="26"/>
        <v>大连市</v>
      </c>
      <c r="R443" s="4">
        <f t="shared" si="24"/>
        <v>6</v>
      </c>
      <c r="S443" s="4" t="str">
        <f t="shared" si="25"/>
        <v>辽宁省</v>
      </c>
    </row>
    <row r="444" spans="14:19">
      <c r="N444" s="4">
        <v>443</v>
      </c>
      <c r="O444" s="4" t="s">
        <v>1338</v>
      </c>
      <c r="P444" s="4">
        <v>38</v>
      </c>
      <c r="Q444" s="4" t="str">
        <f t="shared" si="26"/>
        <v>大连市</v>
      </c>
      <c r="R444" s="4">
        <f t="shared" si="24"/>
        <v>6</v>
      </c>
      <c r="S444" s="4" t="str">
        <f t="shared" si="25"/>
        <v>辽宁省</v>
      </c>
    </row>
    <row r="445" spans="14:19">
      <c r="N445" s="4">
        <v>444</v>
      </c>
      <c r="O445" s="4" t="s">
        <v>1339</v>
      </c>
      <c r="P445" s="4">
        <v>38</v>
      </c>
      <c r="Q445" s="4" t="str">
        <f t="shared" si="26"/>
        <v>大连市</v>
      </c>
      <c r="R445" s="4">
        <f t="shared" si="24"/>
        <v>6</v>
      </c>
      <c r="S445" s="4" t="str">
        <f t="shared" si="25"/>
        <v>辽宁省</v>
      </c>
    </row>
    <row r="446" spans="14:19">
      <c r="N446" s="4">
        <v>445</v>
      </c>
      <c r="O446" s="4" t="s">
        <v>1340</v>
      </c>
      <c r="P446" s="4">
        <v>38</v>
      </c>
      <c r="Q446" s="4" t="str">
        <f t="shared" si="26"/>
        <v>大连市</v>
      </c>
      <c r="R446" s="4">
        <f t="shared" si="24"/>
        <v>6</v>
      </c>
      <c r="S446" s="4" t="str">
        <f t="shared" si="25"/>
        <v>辽宁省</v>
      </c>
    </row>
    <row r="447" spans="14:19">
      <c r="N447" s="4">
        <v>446</v>
      </c>
      <c r="O447" s="4" t="s">
        <v>1341</v>
      </c>
      <c r="P447" s="4">
        <v>38</v>
      </c>
      <c r="Q447" s="4" t="str">
        <f t="shared" si="26"/>
        <v>大连市</v>
      </c>
      <c r="R447" s="4">
        <f t="shared" si="24"/>
        <v>6</v>
      </c>
      <c r="S447" s="4" t="str">
        <f t="shared" si="25"/>
        <v>辽宁省</v>
      </c>
    </row>
    <row r="448" spans="14:19">
      <c r="N448" s="4">
        <v>447</v>
      </c>
      <c r="O448" s="4" t="s">
        <v>1342</v>
      </c>
      <c r="P448" s="4">
        <v>38</v>
      </c>
      <c r="Q448" s="4" t="str">
        <f t="shared" si="26"/>
        <v>大连市</v>
      </c>
      <c r="R448" s="4">
        <f t="shared" si="24"/>
        <v>6</v>
      </c>
      <c r="S448" s="4" t="str">
        <f t="shared" si="25"/>
        <v>辽宁省</v>
      </c>
    </row>
    <row r="449" spans="14:19">
      <c r="N449" s="4">
        <v>448</v>
      </c>
      <c r="O449" s="4" t="s">
        <v>1343</v>
      </c>
      <c r="P449" s="4">
        <v>38</v>
      </c>
      <c r="Q449" s="4" t="str">
        <f t="shared" si="26"/>
        <v>大连市</v>
      </c>
      <c r="R449" s="4">
        <f t="shared" si="24"/>
        <v>6</v>
      </c>
      <c r="S449" s="4" t="str">
        <f t="shared" si="25"/>
        <v>辽宁省</v>
      </c>
    </row>
    <row r="450" spans="14:19">
      <c r="N450" s="4">
        <v>449</v>
      </c>
      <c r="O450" s="4" t="s">
        <v>1344</v>
      </c>
      <c r="P450" s="4">
        <v>38</v>
      </c>
      <c r="Q450" s="4" t="str">
        <f t="shared" si="26"/>
        <v>大连市</v>
      </c>
      <c r="R450" s="4">
        <f t="shared" ref="R450:R513" si="27">VLOOKUP(P450,$I$2:$M$346,3,FALSE)</f>
        <v>6</v>
      </c>
      <c r="S450" s="4" t="str">
        <f t="shared" ref="S450:S513" si="28">VLOOKUP(P450,$I$2:$M$346,4,FALSE)</f>
        <v>辽宁省</v>
      </c>
    </row>
    <row r="451" spans="14:19">
      <c r="N451" s="4">
        <v>450</v>
      </c>
      <c r="O451" s="4" t="s">
        <v>1345</v>
      </c>
      <c r="P451" s="4">
        <v>38</v>
      </c>
      <c r="Q451" s="4" t="str">
        <f t="shared" ref="Q451:Q514" si="29">VLOOKUP(P451,$I$2:$J$346,2,FALSE)</f>
        <v>大连市</v>
      </c>
      <c r="R451" s="4">
        <f t="shared" si="27"/>
        <v>6</v>
      </c>
      <c r="S451" s="4" t="str">
        <f t="shared" si="28"/>
        <v>辽宁省</v>
      </c>
    </row>
    <row r="452" spans="14:19">
      <c r="N452" s="4">
        <v>451</v>
      </c>
      <c r="O452" s="4" t="s">
        <v>1346</v>
      </c>
      <c r="P452" s="4">
        <v>38</v>
      </c>
      <c r="Q452" s="4" t="str">
        <f t="shared" si="29"/>
        <v>大连市</v>
      </c>
      <c r="R452" s="4">
        <f t="shared" si="27"/>
        <v>6</v>
      </c>
      <c r="S452" s="4" t="str">
        <f t="shared" si="28"/>
        <v>辽宁省</v>
      </c>
    </row>
    <row r="453" spans="14:19">
      <c r="N453" s="4">
        <v>452</v>
      </c>
      <c r="O453" s="4" t="s">
        <v>1347</v>
      </c>
      <c r="P453" s="4">
        <v>39</v>
      </c>
      <c r="Q453" s="4" t="str">
        <f t="shared" si="29"/>
        <v>鞍山市</v>
      </c>
      <c r="R453" s="4">
        <f t="shared" si="27"/>
        <v>6</v>
      </c>
      <c r="S453" s="4" t="str">
        <f t="shared" si="28"/>
        <v>辽宁省</v>
      </c>
    </row>
    <row r="454" spans="14:19">
      <c r="N454" s="4">
        <v>453</v>
      </c>
      <c r="O454" s="4" t="s">
        <v>1328</v>
      </c>
      <c r="P454" s="4">
        <v>39</v>
      </c>
      <c r="Q454" s="4" t="str">
        <f t="shared" si="29"/>
        <v>鞍山市</v>
      </c>
      <c r="R454" s="4">
        <f t="shared" si="27"/>
        <v>6</v>
      </c>
      <c r="S454" s="4" t="str">
        <f t="shared" si="28"/>
        <v>辽宁省</v>
      </c>
    </row>
    <row r="455" spans="14:19">
      <c r="N455" s="4">
        <v>454</v>
      </c>
      <c r="O455" s="4" t="s">
        <v>1348</v>
      </c>
      <c r="P455" s="4">
        <v>39</v>
      </c>
      <c r="Q455" s="4" t="str">
        <f t="shared" si="29"/>
        <v>鞍山市</v>
      </c>
      <c r="R455" s="4">
        <f t="shared" si="27"/>
        <v>6</v>
      </c>
      <c r="S455" s="4" t="str">
        <f t="shared" si="28"/>
        <v>辽宁省</v>
      </c>
    </row>
    <row r="456" spans="14:19">
      <c r="N456" s="4">
        <v>455</v>
      </c>
      <c r="O456" s="4" t="s">
        <v>1349</v>
      </c>
      <c r="P456" s="4">
        <v>39</v>
      </c>
      <c r="Q456" s="4" t="str">
        <f t="shared" si="29"/>
        <v>鞍山市</v>
      </c>
      <c r="R456" s="4">
        <f t="shared" si="27"/>
        <v>6</v>
      </c>
      <c r="S456" s="4" t="str">
        <f t="shared" si="28"/>
        <v>辽宁省</v>
      </c>
    </row>
    <row r="457" spans="14:19">
      <c r="N457" s="4">
        <v>456</v>
      </c>
      <c r="O457" s="4" t="s">
        <v>1350</v>
      </c>
      <c r="P457" s="4">
        <v>39</v>
      </c>
      <c r="Q457" s="4" t="str">
        <f t="shared" si="29"/>
        <v>鞍山市</v>
      </c>
      <c r="R457" s="4">
        <f t="shared" si="27"/>
        <v>6</v>
      </c>
      <c r="S457" s="4" t="str">
        <f t="shared" si="28"/>
        <v>辽宁省</v>
      </c>
    </row>
    <row r="458" spans="14:19">
      <c r="N458" s="4">
        <v>457</v>
      </c>
      <c r="O458" s="4" t="s">
        <v>1351</v>
      </c>
      <c r="P458" s="4">
        <v>39</v>
      </c>
      <c r="Q458" s="4" t="str">
        <f t="shared" si="29"/>
        <v>鞍山市</v>
      </c>
      <c r="R458" s="4">
        <f t="shared" si="27"/>
        <v>6</v>
      </c>
      <c r="S458" s="4" t="str">
        <f t="shared" si="28"/>
        <v>辽宁省</v>
      </c>
    </row>
    <row r="459" spans="14:19">
      <c r="N459" s="4">
        <v>458</v>
      </c>
      <c r="O459" s="4" t="s">
        <v>1352</v>
      </c>
      <c r="P459" s="4">
        <v>39</v>
      </c>
      <c r="Q459" s="4" t="str">
        <f t="shared" si="29"/>
        <v>鞍山市</v>
      </c>
      <c r="R459" s="4">
        <f t="shared" si="27"/>
        <v>6</v>
      </c>
      <c r="S459" s="4" t="str">
        <f t="shared" si="28"/>
        <v>辽宁省</v>
      </c>
    </row>
    <row r="460" spans="14:19">
      <c r="N460" s="4">
        <v>459</v>
      </c>
      <c r="O460" s="4" t="s">
        <v>1353</v>
      </c>
      <c r="P460" s="4">
        <v>40</v>
      </c>
      <c r="Q460" s="4" t="str">
        <f t="shared" si="29"/>
        <v>抚顺市</v>
      </c>
      <c r="R460" s="4">
        <f t="shared" si="27"/>
        <v>6</v>
      </c>
      <c r="S460" s="4" t="str">
        <f t="shared" si="28"/>
        <v>辽宁省</v>
      </c>
    </row>
    <row r="461" spans="14:19">
      <c r="N461" s="4">
        <v>460</v>
      </c>
      <c r="O461" s="4" t="s">
        <v>1354</v>
      </c>
      <c r="P461" s="4">
        <v>40</v>
      </c>
      <c r="Q461" s="4" t="str">
        <f t="shared" si="29"/>
        <v>抚顺市</v>
      </c>
      <c r="R461" s="4">
        <f t="shared" si="27"/>
        <v>6</v>
      </c>
      <c r="S461" s="4" t="str">
        <f t="shared" si="28"/>
        <v>辽宁省</v>
      </c>
    </row>
    <row r="462" spans="14:19">
      <c r="N462" s="4">
        <v>461</v>
      </c>
      <c r="O462" s="4" t="s">
        <v>1355</v>
      </c>
      <c r="P462" s="4">
        <v>40</v>
      </c>
      <c r="Q462" s="4" t="str">
        <f t="shared" si="29"/>
        <v>抚顺市</v>
      </c>
      <c r="R462" s="4">
        <f t="shared" si="27"/>
        <v>6</v>
      </c>
      <c r="S462" s="4" t="str">
        <f t="shared" si="28"/>
        <v>辽宁省</v>
      </c>
    </row>
    <row r="463" spans="14:19">
      <c r="N463" s="4">
        <v>462</v>
      </c>
      <c r="O463" s="4" t="s">
        <v>1356</v>
      </c>
      <c r="P463" s="4">
        <v>40</v>
      </c>
      <c r="Q463" s="4" t="str">
        <f t="shared" si="29"/>
        <v>抚顺市</v>
      </c>
      <c r="R463" s="4">
        <f t="shared" si="27"/>
        <v>6</v>
      </c>
      <c r="S463" s="4" t="str">
        <f t="shared" si="28"/>
        <v>辽宁省</v>
      </c>
    </row>
    <row r="464" spans="14:19">
      <c r="N464" s="4">
        <v>463</v>
      </c>
      <c r="O464" s="4" t="s">
        <v>1357</v>
      </c>
      <c r="P464" s="4">
        <v>40</v>
      </c>
      <c r="Q464" s="4" t="str">
        <f t="shared" si="29"/>
        <v>抚顺市</v>
      </c>
      <c r="R464" s="4">
        <f t="shared" si="27"/>
        <v>6</v>
      </c>
      <c r="S464" s="4" t="str">
        <f t="shared" si="28"/>
        <v>辽宁省</v>
      </c>
    </row>
    <row r="465" spans="14:19">
      <c r="N465" s="4">
        <v>464</v>
      </c>
      <c r="O465" s="4" t="s">
        <v>1358</v>
      </c>
      <c r="P465" s="4">
        <v>40</v>
      </c>
      <c r="Q465" s="4" t="str">
        <f t="shared" si="29"/>
        <v>抚顺市</v>
      </c>
      <c r="R465" s="4">
        <f t="shared" si="27"/>
        <v>6</v>
      </c>
      <c r="S465" s="4" t="str">
        <f t="shared" si="28"/>
        <v>辽宁省</v>
      </c>
    </row>
    <row r="466" spans="14:19">
      <c r="N466" s="4">
        <v>465</v>
      </c>
      <c r="O466" s="4" t="s">
        <v>1359</v>
      </c>
      <c r="P466" s="4">
        <v>40</v>
      </c>
      <c r="Q466" s="4" t="str">
        <f t="shared" si="29"/>
        <v>抚顺市</v>
      </c>
      <c r="R466" s="4">
        <f t="shared" si="27"/>
        <v>6</v>
      </c>
      <c r="S466" s="4" t="str">
        <f t="shared" si="28"/>
        <v>辽宁省</v>
      </c>
    </row>
    <row r="467" spans="14:19">
      <c r="N467" s="4">
        <v>466</v>
      </c>
      <c r="O467" s="4" t="s">
        <v>1360</v>
      </c>
      <c r="P467" s="4">
        <v>41</v>
      </c>
      <c r="Q467" s="4" t="str">
        <f t="shared" si="29"/>
        <v>本溪市</v>
      </c>
      <c r="R467" s="4">
        <f t="shared" si="27"/>
        <v>6</v>
      </c>
      <c r="S467" s="4" t="str">
        <f t="shared" si="28"/>
        <v>辽宁省</v>
      </c>
    </row>
    <row r="468" spans="14:19">
      <c r="N468" s="4">
        <v>467</v>
      </c>
      <c r="O468" s="4" t="s">
        <v>1361</v>
      </c>
      <c r="P468" s="4">
        <v>41</v>
      </c>
      <c r="Q468" s="4" t="str">
        <f t="shared" si="29"/>
        <v>本溪市</v>
      </c>
      <c r="R468" s="4">
        <f t="shared" si="27"/>
        <v>6</v>
      </c>
      <c r="S468" s="4" t="str">
        <f t="shared" si="28"/>
        <v>辽宁省</v>
      </c>
    </row>
    <row r="469" spans="14:19">
      <c r="N469" s="4">
        <v>468</v>
      </c>
      <c r="O469" s="4" t="s">
        <v>1362</v>
      </c>
      <c r="P469" s="4">
        <v>41</v>
      </c>
      <c r="Q469" s="4" t="str">
        <f t="shared" si="29"/>
        <v>本溪市</v>
      </c>
      <c r="R469" s="4">
        <f t="shared" si="27"/>
        <v>6</v>
      </c>
      <c r="S469" s="4" t="str">
        <f t="shared" si="28"/>
        <v>辽宁省</v>
      </c>
    </row>
    <row r="470" spans="14:19">
      <c r="N470" s="4">
        <v>469</v>
      </c>
      <c r="O470" s="4" t="s">
        <v>1363</v>
      </c>
      <c r="P470" s="4">
        <v>41</v>
      </c>
      <c r="Q470" s="4" t="str">
        <f t="shared" si="29"/>
        <v>本溪市</v>
      </c>
      <c r="R470" s="4">
        <f t="shared" si="27"/>
        <v>6</v>
      </c>
      <c r="S470" s="4" t="str">
        <f t="shared" si="28"/>
        <v>辽宁省</v>
      </c>
    </row>
    <row r="471" spans="14:19">
      <c r="N471" s="4">
        <v>470</v>
      </c>
      <c r="O471" s="4" t="s">
        <v>1364</v>
      </c>
      <c r="P471" s="4">
        <v>41</v>
      </c>
      <c r="Q471" s="4" t="str">
        <f t="shared" si="29"/>
        <v>本溪市</v>
      </c>
      <c r="R471" s="4">
        <f t="shared" si="27"/>
        <v>6</v>
      </c>
      <c r="S471" s="4" t="str">
        <f t="shared" si="28"/>
        <v>辽宁省</v>
      </c>
    </row>
    <row r="472" spans="14:19">
      <c r="N472" s="4">
        <v>471</v>
      </c>
      <c r="O472" s="4" t="s">
        <v>1365</v>
      </c>
      <c r="P472" s="4">
        <v>41</v>
      </c>
      <c r="Q472" s="4" t="str">
        <f t="shared" si="29"/>
        <v>本溪市</v>
      </c>
      <c r="R472" s="4">
        <f t="shared" si="27"/>
        <v>6</v>
      </c>
      <c r="S472" s="4" t="str">
        <f t="shared" si="28"/>
        <v>辽宁省</v>
      </c>
    </row>
    <row r="473" spans="14:19">
      <c r="N473" s="4">
        <v>472</v>
      </c>
      <c r="O473" s="4" t="s">
        <v>1366</v>
      </c>
      <c r="P473" s="4">
        <v>42</v>
      </c>
      <c r="Q473" s="4" t="str">
        <f t="shared" si="29"/>
        <v>丹东市</v>
      </c>
      <c r="R473" s="4">
        <f t="shared" si="27"/>
        <v>6</v>
      </c>
      <c r="S473" s="4" t="str">
        <f t="shared" si="28"/>
        <v>辽宁省</v>
      </c>
    </row>
    <row r="474" spans="14:19">
      <c r="N474" s="4">
        <v>473</v>
      </c>
      <c r="O474" s="4" t="s">
        <v>1367</v>
      </c>
      <c r="P474" s="4">
        <v>42</v>
      </c>
      <c r="Q474" s="4" t="str">
        <f t="shared" si="29"/>
        <v>丹东市</v>
      </c>
      <c r="R474" s="4">
        <f t="shared" si="27"/>
        <v>6</v>
      </c>
      <c r="S474" s="4" t="str">
        <f t="shared" si="28"/>
        <v>辽宁省</v>
      </c>
    </row>
    <row r="475" spans="14:19">
      <c r="N475" s="4">
        <v>474</v>
      </c>
      <c r="O475" s="4" t="s">
        <v>1368</v>
      </c>
      <c r="P475" s="4">
        <v>42</v>
      </c>
      <c r="Q475" s="4" t="str">
        <f t="shared" si="29"/>
        <v>丹东市</v>
      </c>
      <c r="R475" s="4">
        <f t="shared" si="27"/>
        <v>6</v>
      </c>
      <c r="S475" s="4" t="str">
        <f t="shared" si="28"/>
        <v>辽宁省</v>
      </c>
    </row>
    <row r="476" spans="14:19">
      <c r="N476" s="4">
        <v>475</v>
      </c>
      <c r="O476" s="4" t="s">
        <v>1369</v>
      </c>
      <c r="P476" s="4">
        <v>42</v>
      </c>
      <c r="Q476" s="4" t="str">
        <f t="shared" si="29"/>
        <v>丹东市</v>
      </c>
      <c r="R476" s="4">
        <f t="shared" si="27"/>
        <v>6</v>
      </c>
      <c r="S476" s="4" t="str">
        <f t="shared" si="28"/>
        <v>辽宁省</v>
      </c>
    </row>
    <row r="477" spans="14:19">
      <c r="N477" s="4">
        <v>476</v>
      </c>
      <c r="O477" s="4" t="s">
        <v>1370</v>
      </c>
      <c r="P477" s="4">
        <v>42</v>
      </c>
      <c r="Q477" s="4" t="str">
        <f t="shared" si="29"/>
        <v>丹东市</v>
      </c>
      <c r="R477" s="4">
        <f t="shared" si="27"/>
        <v>6</v>
      </c>
      <c r="S477" s="4" t="str">
        <f t="shared" si="28"/>
        <v>辽宁省</v>
      </c>
    </row>
    <row r="478" spans="14:19">
      <c r="N478" s="4">
        <v>477</v>
      </c>
      <c r="O478" s="4" t="s">
        <v>1371</v>
      </c>
      <c r="P478" s="4">
        <v>42</v>
      </c>
      <c r="Q478" s="4" t="str">
        <f t="shared" si="29"/>
        <v>丹东市</v>
      </c>
      <c r="R478" s="4">
        <f t="shared" si="27"/>
        <v>6</v>
      </c>
      <c r="S478" s="4" t="str">
        <f t="shared" si="28"/>
        <v>辽宁省</v>
      </c>
    </row>
    <row r="479" spans="14:19">
      <c r="N479" s="4">
        <v>478</v>
      </c>
      <c r="O479" s="4" t="s">
        <v>1372</v>
      </c>
      <c r="P479" s="4">
        <v>43</v>
      </c>
      <c r="Q479" s="4" t="str">
        <f t="shared" si="29"/>
        <v>锦州市</v>
      </c>
      <c r="R479" s="4">
        <f t="shared" si="27"/>
        <v>6</v>
      </c>
      <c r="S479" s="4" t="str">
        <f t="shared" si="28"/>
        <v>辽宁省</v>
      </c>
    </row>
    <row r="480" spans="14:19">
      <c r="N480" s="4">
        <v>479</v>
      </c>
      <c r="O480" s="4" t="s">
        <v>1373</v>
      </c>
      <c r="P480" s="4">
        <v>43</v>
      </c>
      <c r="Q480" s="4" t="str">
        <f t="shared" si="29"/>
        <v>锦州市</v>
      </c>
      <c r="R480" s="4">
        <f t="shared" si="27"/>
        <v>6</v>
      </c>
      <c r="S480" s="4" t="str">
        <f t="shared" si="28"/>
        <v>辽宁省</v>
      </c>
    </row>
    <row r="481" spans="14:19">
      <c r="N481" s="4">
        <v>480</v>
      </c>
      <c r="O481" s="4" t="s">
        <v>1374</v>
      </c>
      <c r="P481" s="4">
        <v>43</v>
      </c>
      <c r="Q481" s="4" t="str">
        <f t="shared" si="29"/>
        <v>锦州市</v>
      </c>
      <c r="R481" s="4">
        <f t="shared" si="27"/>
        <v>6</v>
      </c>
      <c r="S481" s="4" t="str">
        <f t="shared" si="28"/>
        <v>辽宁省</v>
      </c>
    </row>
    <row r="482" spans="14:19">
      <c r="N482" s="4">
        <v>481</v>
      </c>
      <c r="O482" s="4" t="s">
        <v>1375</v>
      </c>
      <c r="P482" s="4">
        <v>43</v>
      </c>
      <c r="Q482" s="4" t="str">
        <f t="shared" si="29"/>
        <v>锦州市</v>
      </c>
      <c r="R482" s="4">
        <f t="shared" si="27"/>
        <v>6</v>
      </c>
      <c r="S482" s="4" t="str">
        <f t="shared" si="28"/>
        <v>辽宁省</v>
      </c>
    </row>
    <row r="483" spans="14:19">
      <c r="N483" s="4">
        <v>482</v>
      </c>
      <c r="O483" s="4" t="s">
        <v>1376</v>
      </c>
      <c r="P483" s="4">
        <v>43</v>
      </c>
      <c r="Q483" s="4" t="str">
        <f t="shared" si="29"/>
        <v>锦州市</v>
      </c>
      <c r="R483" s="4">
        <f t="shared" si="27"/>
        <v>6</v>
      </c>
      <c r="S483" s="4" t="str">
        <f t="shared" si="28"/>
        <v>辽宁省</v>
      </c>
    </row>
    <row r="484" spans="14:19">
      <c r="N484" s="4">
        <v>483</v>
      </c>
      <c r="O484" s="4" t="s">
        <v>1377</v>
      </c>
      <c r="P484" s="4">
        <v>43</v>
      </c>
      <c r="Q484" s="4" t="str">
        <f t="shared" si="29"/>
        <v>锦州市</v>
      </c>
      <c r="R484" s="4">
        <f t="shared" si="27"/>
        <v>6</v>
      </c>
      <c r="S484" s="4" t="str">
        <f t="shared" si="28"/>
        <v>辽宁省</v>
      </c>
    </row>
    <row r="485" spans="14:19">
      <c r="N485" s="4">
        <v>484</v>
      </c>
      <c r="O485" s="4" t="s">
        <v>1378</v>
      </c>
      <c r="P485" s="4">
        <v>43</v>
      </c>
      <c r="Q485" s="4" t="str">
        <f t="shared" si="29"/>
        <v>锦州市</v>
      </c>
      <c r="R485" s="4">
        <f t="shared" si="27"/>
        <v>6</v>
      </c>
      <c r="S485" s="4" t="str">
        <f t="shared" si="28"/>
        <v>辽宁省</v>
      </c>
    </row>
    <row r="486" spans="14:19">
      <c r="N486" s="4">
        <v>485</v>
      </c>
      <c r="O486" s="4" t="s">
        <v>1379</v>
      </c>
      <c r="P486" s="4">
        <v>44</v>
      </c>
      <c r="Q486" s="4" t="str">
        <f t="shared" si="29"/>
        <v>营口市</v>
      </c>
      <c r="R486" s="4">
        <f t="shared" si="27"/>
        <v>6</v>
      </c>
      <c r="S486" s="4" t="str">
        <f t="shared" si="28"/>
        <v>辽宁省</v>
      </c>
    </row>
    <row r="487" spans="14:19">
      <c r="N487" s="4">
        <v>486</v>
      </c>
      <c r="O487" s="4" t="s">
        <v>1380</v>
      </c>
      <c r="P487" s="4">
        <v>44</v>
      </c>
      <c r="Q487" s="4" t="str">
        <f t="shared" si="29"/>
        <v>营口市</v>
      </c>
      <c r="R487" s="4">
        <f t="shared" si="27"/>
        <v>6</v>
      </c>
      <c r="S487" s="4" t="str">
        <f t="shared" si="28"/>
        <v>辽宁省</v>
      </c>
    </row>
    <row r="488" spans="14:19">
      <c r="N488" s="4">
        <v>487</v>
      </c>
      <c r="O488" s="4" t="s">
        <v>1381</v>
      </c>
      <c r="P488" s="4">
        <v>44</v>
      </c>
      <c r="Q488" s="4" t="str">
        <f t="shared" si="29"/>
        <v>营口市</v>
      </c>
      <c r="R488" s="4">
        <f t="shared" si="27"/>
        <v>6</v>
      </c>
      <c r="S488" s="4" t="str">
        <f t="shared" si="28"/>
        <v>辽宁省</v>
      </c>
    </row>
    <row r="489" spans="14:19">
      <c r="N489" s="4">
        <v>488</v>
      </c>
      <c r="O489" s="4" t="s">
        <v>1382</v>
      </c>
      <c r="P489" s="4">
        <v>44</v>
      </c>
      <c r="Q489" s="4" t="str">
        <f t="shared" si="29"/>
        <v>营口市</v>
      </c>
      <c r="R489" s="4">
        <f t="shared" si="27"/>
        <v>6</v>
      </c>
      <c r="S489" s="4" t="str">
        <f t="shared" si="28"/>
        <v>辽宁省</v>
      </c>
    </row>
    <row r="490" spans="14:19">
      <c r="N490" s="4">
        <v>489</v>
      </c>
      <c r="O490" s="4" t="s">
        <v>1383</v>
      </c>
      <c r="P490" s="4">
        <v>44</v>
      </c>
      <c r="Q490" s="4" t="str">
        <f t="shared" si="29"/>
        <v>营口市</v>
      </c>
      <c r="R490" s="4">
        <f t="shared" si="27"/>
        <v>6</v>
      </c>
      <c r="S490" s="4" t="str">
        <f t="shared" si="28"/>
        <v>辽宁省</v>
      </c>
    </row>
    <row r="491" spans="14:19">
      <c r="N491" s="4">
        <v>490</v>
      </c>
      <c r="O491" s="4" t="s">
        <v>1384</v>
      </c>
      <c r="P491" s="4">
        <v>44</v>
      </c>
      <c r="Q491" s="4" t="str">
        <f t="shared" si="29"/>
        <v>营口市</v>
      </c>
      <c r="R491" s="4">
        <f t="shared" si="27"/>
        <v>6</v>
      </c>
      <c r="S491" s="4" t="str">
        <f t="shared" si="28"/>
        <v>辽宁省</v>
      </c>
    </row>
    <row r="492" spans="14:19">
      <c r="N492" s="4">
        <v>491</v>
      </c>
      <c r="O492" s="4" t="s">
        <v>1385</v>
      </c>
      <c r="P492" s="4">
        <v>45</v>
      </c>
      <c r="Q492" s="4" t="str">
        <f t="shared" si="29"/>
        <v>阜新市</v>
      </c>
      <c r="R492" s="4">
        <f t="shared" si="27"/>
        <v>6</v>
      </c>
      <c r="S492" s="4" t="str">
        <f t="shared" si="28"/>
        <v>辽宁省</v>
      </c>
    </row>
    <row r="493" spans="14:19">
      <c r="N493" s="4">
        <v>492</v>
      </c>
      <c r="O493" s="4" t="s">
        <v>1386</v>
      </c>
      <c r="P493" s="4">
        <v>45</v>
      </c>
      <c r="Q493" s="4" t="str">
        <f t="shared" si="29"/>
        <v>阜新市</v>
      </c>
      <c r="R493" s="4">
        <f t="shared" si="27"/>
        <v>6</v>
      </c>
      <c r="S493" s="4" t="str">
        <f t="shared" si="28"/>
        <v>辽宁省</v>
      </c>
    </row>
    <row r="494" spans="14:19">
      <c r="N494" s="4">
        <v>493</v>
      </c>
      <c r="O494" s="4" t="s">
        <v>1387</v>
      </c>
      <c r="P494" s="4">
        <v>45</v>
      </c>
      <c r="Q494" s="4" t="str">
        <f t="shared" si="29"/>
        <v>阜新市</v>
      </c>
      <c r="R494" s="4">
        <f t="shared" si="27"/>
        <v>6</v>
      </c>
      <c r="S494" s="4" t="str">
        <f t="shared" si="28"/>
        <v>辽宁省</v>
      </c>
    </row>
    <row r="495" spans="14:19">
      <c r="N495" s="4">
        <v>494</v>
      </c>
      <c r="O495" s="4" t="s">
        <v>1388</v>
      </c>
      <c r="P495" s="4">
        <v>45</v>
      </c>
      <c r="Q495" s="4" t="str">
        <f t="shared" si="29"/>
        <v>阜新市</v>
      </c>
      <c r="R495" s="4">
        <f t="shared" si="27"/>
        <v>6</v>
      </c>
      <c r="S495" s="4" t="str">
        <f t="shared" si="28"/>
        <v>辽宁省</v>
      </c>
    </row>
    <row r="496" spans="14:19">
      <c r="N496" s="4">
        <v>495</v>
      </c>
      <c r="O496" s="4" t="s">
        <v>1389</v>
      </c>
      <c r="P496" s="4">
        <v>45</v>
      </c>
      <c r="Q496" s="4" t="str">
        <f t="shared" si="29"/>
        <v>阜新市</v>
      </c>
      <c r="R496" s="4">
        <f t="shared" si="27"/>
        <v>6</v>
      </c>
      <c r="S496" s="4" t="str">
        <f t="shared" si="28"/>
        <v>辽宁省</v>
      </c>
    </row>
    <row r="497" spans="14:19">
      <c r="N497" s="4">
        <v>496</v>
      </c>
      <c r="O497" s="4" t="s">
        <v>1390</v>
      </c>
      <c r="P497" s="4">
        <v>45</v>
      </c>
      <c r="Q497" s="4" t="str">
        <f t="shared" si="29"/>
        <v>阜新市</v>
      </c>
      <c r="R497" s="4">
        <f t="shared" si="27"/>
        <v>6</v>
      </c>
      <c r="S497" s="4" t="str">
        <f t="shared" si="28"/>
        <v>辽宁省</v>
      </c>
    </row>
    <row r="498" spans="14:19">
      <c r="N498" s="4">
        <v>497</v>
      </c>
      <c r="O498" s="4" t="s">
        <v>1391</v>
      </c>
      <c r="P498" s="4">
        <v>45</v>
      </c>
      <c r="Q498" s="4" t="str">
        <f t="shared" si="29"/>
        <v>阜新市</v>
      </c>
      <c r="R498" s="4">
        <f t="shared" si="27"/>
        <v>6</v>
      </c>
      <c r="S498" s="4" t="str">
        <f t="shared" si="28"/>
        <v>辽宁省</v>
      </c>
    </row>
    <row r="499" spans="14:19">
      <c r="N499" s="4">
        <v>498</v>
      </c>
      <c r="O499" s="4" t="s">
        <v>1392</v>
      </c>
      <c r="P499" s="4">
        <v>46</v>
      </c>
      <c r="Q499" s="4" t="str">
        <f t="shared" si="29"/>
        <v>辽阳市</v>
      </c>
      <c r="R499" s="4">
        <f t="shared" si="27"/>
        <v>6</v>
      </c>
      <c r="S499" s="4" t="str">
        <f t="shared" si="28"/>
        <v>辽宁省</v>
      </c>
    </row>
    <row r="500" spans="14:19">
      <c r="N500" s="4">
        <v>499</v>
      </c>
      <c r="O500" s="4" t="s">
        <v>1393</v>
      </c>
      <c r="P500" s="4">
        <v>46</v>
      </c>
      <c r="Q500" s="4" t="str">
        <f t="shared" si="29"/>
        <v>辽阳市</v>
      </c>
      <c r="R500" s="4">
        <f t="shared" si="27"/>
        <v>6</v>
      </c>
      <c r="S500" s="4" t="str">
        <f t="shared" si="28"/>
        <v>辽宁省</v>
      </c>
    </row>
    <row r="501" spans="14:19">
      <c r="N501" s="4">
        <v>500</v>
      </c>
      <c r="O501" s="4" t="s">
        <v>1394</v>
      </c>
      <c r="P501" s="4">
        <v>46</v>
      </c>
      <c r="Q501" s="4" t="str">
        <f t="shared" si="29"/>
        <v>辽阳市</v>
      </c>
      <c r="R501" s="4">
        <f t="shared" si="27"/>
        <v>6</v>
      </c>
      <c r="S501" s="4" t="str">
        <f t="shared" si="28"/>
        <v>辽宁省</v>
      </c>
    </row>
    <row r="502" spans="14:19">
      <c r="N502" s="4">
        <v>501</v>
      </c>
      <c r="O502" s="4" t="s">
        <v>1395</v>
      </c>
      <c r="P502" s="4">
        <v>46</v>
      </c>
      <c r="Q502" s="4" t="str">
        <f t="shared" si="29"/>
        <v>辽阳市</v>
      </c>
      <c r="R502" s="4">
        <f t="shared" si="27"/>
        <v>6</v>
      </c>
      <c r="S502" s="4" t="str">
        <f t="shared" si="28"/>
        <v>辽宁省</v>
      </c>
    </row>
    <row r="503" spans="14:19">
      <c r="N503" s="4">
        <v>502</v>
      </c>
      <c r="O503" s="4" t="s">
        <v>1396</v>
      </c>
      <c r="P503" s="4">
        <v>46</v>
      </c>
      <c r="Q503" s="4" t="str">
        <f t="shared" si="29"/>
        <v>辽阳市</v>
      </c>
      <c r="R503" s="4">
        <f t="shared" si="27"/>
        <v>6</v>
      </c>
      <c r="S503" s="4" t="str">
        <f t="shared" si="28"/>
        <v>辽宁省</v>
      </c>
    </row>
    <row r="504" spans="14:19">
      <c r="N504" s="4">
        <v>503</v>
      </c>
      <c r="O504" s="4" t="s">
        <v>1397</v>
      </c>
      <c r="P504" s="4">
        <v>46</v>
      </c>
      <c r="Q504" s="4" t="str">
        <f t="shared" si="29"/>
        <v>辽阳市</v>
      </c>
      <c r="R504" s="4">
        <f t="shared" si="27"/>
        <v>6</v>
      </c>
      <c r="S504" s="4" t="str">
        <f t="shared" si="28"/>
        <v>辽宁省</v>
      </c>
    </row>
    <row r="505" spans="14:19">
      <c r="N505" s="4">
        <v>504</v>
      </c>
      <c r="O505" s="4" t="s">
        <v>1398</v>
      </c>
      <c r="P505" s="4">
        <v>46</v>
      </c>
      <c r="Q505" s="4" t="str">
        <f t="shared" si="29"/>
        <v>辽阳市</v>
      </c>
      <c r="R505" s="4">
        <f t="shared" si="27"/>
        <v>6</v>
      </c>
      <c r="S505" s="4" t="str">
        <f t="shared" si="28"/>
        <v>辽宁省</v>
      </c>
    </row>
    <row r="506" spans="14:19">
      <c r="N506" s="4">
        <v>505</v>
      </c>
      <c r="O506" s="4" t="s">
        <v>1399</v>
      </c>
      <c r="P506" s="4">
        <v>47</v>
      </c>
      <c r="Q506" s="4" t="str">
        <f t="shared" si="29"/>
        <v>盘锦市</v>
      </c>
      <c r="R506" s="4">
        <f t="shared" si="27"/>
        <v>6</v>
      </c>
      <c r="S506" s="4" t="str">
        <f t="shared" si="28"/>
        <v>辽宁省</v>
      </c>
    </row>
    <row r="507" spans="14:19">
      <c r="N507" s="4">
        <v>506</v>
      </c>
      <c r="O507" s="4" t="s">
        <v>1400</v>
      </c>
      <c r="P507" s="4">
        <v>47</v>
      </c>
      <c r="Q507" s="4" t="str">
        <f t="shared" si="29"/>
        <v>盘锦市</v>
      </c>
      <c r="R507" s="4">
        <f t="shared" si="27"/>
        <v>6</v>
      </c>
      <c r="S507" s="4" t="str">
        <f t="shared" si="28"/>
        <v>辽宁省</v>
      </c>
    </row>
    <row r="508" spans="14:19">
      <c r="N508" s="4">
        <v>507</v>
      </c>
      <c r="O508" s="4" t="s">
        <v>1401</v>
      </c>
      <c r="P508" s="4">
        <v>47</v>
      </c>
      <c r="Q508" s="4" t="str">
        <f t="shared" si="29"/>
        <v>盘锦市</v>
      </c>
      <c r="R508" s="4">
        <f t="shared" si="27"/>
        <v>6</v>
      </c>
      <c r="S508" s="4" t="str">
        <f t="shared" si="28"/>
        <v>辽宁省</v>
      </c>
    </row>
    <row r="509" spans="14:19">
      <c r="N509" s="4">
        <v>508</v>
      </c>
      <c r="O509" s="4" t="s">
        <v>1402</v>
      </c>
      <c r="P509" s="4">
        <v>47</v>
      </c>
      <c r="Q509" s="4" t="str">
        <f t="shared" si="29"/>
        <v>盘锦市</v>
      </c>
      <c r="R509" s="4">
        <f t="shared" si="27"/>
        <v>6</v>
      </c>
      <c r="S509" s="4" t="str">
        <f t="shared" si="28"/>
        <v>辽宁省</v>
      </c>
    </row>
    <row r="510" spans="14:19">
      <c r="N510" s="4">
        <v>509</v>
      </c>
      <c r="O510" s="4" t="s">
        <v>1403</v>
      </c>
      <c r="P510" s="4">
        <v>48</v>
      </c>
      <c r="Q510" s="4" t="str">
        <f t="shared" si="29"/>
        <v>铁岭市</v>
      </c>
      <c r="R510" s="4">
        <f t="shared" si="27"/>
        <v>6</v>
      </c>
      <c r="S510" s="4" t="str">
        <f t="shared" si="28"/>
        <v>辽宁省</v>
      </c>
    </row>
    <row r="511" spans="14:19">
      <c r="N511" s="4">
        <v>510</v>
      </c>
      <c r="O511" s="4" t="s">
        <v>1404</v>
      </c>
      <c r="P511" s="4">
        <v>48</v>
      </c>
      <c r="Q511" s="4" t="str">
        <f t="shared" si="29"/>
        <v>铁岭市</v>
      </c>
      <c r="R511" s="4">
        <f t="shared" si="27"/>
        <v>6</v>
      </c>
      <c r="S511" s="4" t="str">
        <f t="shared" si="28"/>
        <v>辽宁省</v>
      </c>
    </row>
    <row r="512" spans="14:19">
      <c r="N512" s="4">
        <v>511</v>
      </c>
      <c r="O512" s="4" t="s">
        <v>1405</v>
      </c>
      <c r="P512" s="4">
        <v>48</v>
      </c>
      <c r="Q512" s="4" t="str">
        <f t="shared" si="29"/>
        <v>铁岭市</v>
      </c>
      <c r="R512" s="4">
        <f t="shared" si="27"/>
        <v>6</v>
      </c>
      <c r="S512" s="4" t="str">
        <f t="shared" si="28"/>
        <v>辽宁省</v>
      </c>
    </row>
    <row r="513" spans="14:19">
      <c r="N513" s="4">
        <v>512</v>
      </c>
      <c r="O513" s="4" t="s">
        <v>1406</v>
      </c>
      <c r="P513" s="4">
        <v>48</v>
      </c>
      <c r="Q513" s="4" t="str">
        <f t="shared" si="29"/>
        <v>铁岭市</v>
      </c>
      <c r="R513" s="4">
        <f t="shared" si="27"/>
        <v>6</v>
      </c>
      <c r="S513" s="4" t="str">
        <f t="shared" si="28"/>
        <v>辽宁省</v>
      </c>
    </row>
    <row r="514" spans="14:19">
      <c r="N514" s="4">
        <v>513</v>
      </c>
      <c r="O514" s="4" t="s">
        <v>1407</v>
      </c>
      <c r="P514" s="4">
        <v>48</v>
      </c>
      <c r="Q514" s="4" t="str">
        <f t="shared" si="29"/>
        <v>铁岭市</v>
      </c>
      <c r="R514" s="4">
        <f t="shared" ref="R514:R577" si="30">VLOOKUP(P514,$I$2:$M$346,3,FALSE)</f>
        <v>6</v>
      </c>
      <c r="S514" s="4" t="str">
        <f t="shared" ref="S514:S577" si="31">VLOOKUP(P514,$I$2:$M$346,4,FALSE)</f>
        <v>辽宁省</v>
      </c>
    </row>
    <row r="515" spans="14:19">
      <c r="N515" s="4">
        <v>514</v>
      </c>
      <c r="O515" s="4" t="s">
        <v>1408</v>
      </c>
      <c r="P515" s="4">
        <v>48</v>
      </c>
      <c r="Q515" s="4" t="str">
        <f t="shared" ref="Q515:Q578" si="32">VLOOKUP(P515,$I$2:$J$346,2,FALSE)</f>
        <v>铁岭市</v>
      </c>
      <c r="R515" s="4">
        <f t="shared" si="30"/>
        <v>6</v>
      </c>
      <c r="S515" s="4" t="str">
        <f t="shared" si="31"/>
        <v>辽宁省</v>
      </c>
    </row>
    <row r="516" spans="14:19">
      <c r="N516" s="4">
        <v>515</v>
      </c>
      <c r="O516" s="4" t="s">
        <v>1409</v>
      </c>
      <c r="P516" s="4">
        <v>48</v>
      </c>
      <c r="Q516" s="4" t="str">
        <f t="shared" si="32"/>
        <v>铁岭市</v>
      </c>
      <c r="R516" s="4">
        <f t="shared" si="30"/>
        <v>6</v>
      </c>
      <c r="S516" s="4" t="str">
        <f t="shared" si="31"/>
        <v>辽宁省</v>
      </c>
    </row>
    <row r="517" spans="14:19">
      <c r="N517" s="4">
        <v>516</v>
      </c>
      <c r="O517" s="4" t="s">
        <v>1410</v>
      </c>
      <c r="P517" s="4">
        <v>49</v>
      </c>
      <c r="Q517" s="4" t="str">
        <f t="shared" si="32"/>
        <v>朝阳市</v>
      </c>
      <c r="R517" s="4">
        <f t="shared" si="30"/>
        <v>6</v>
      </c>
      <c r="S517" s="4" t="str">
        <f t="shared" si="31"/>
        <v>辽宁省</v>
      </c>
    </row>
    <row r="518" spans="14:19">
      <c r="N518" s="4">
        <v>517</v>
      </c>
      <c r="O518" s="4" t="s">
        <v>1411</v>
      </c>
      <c r="P518" s="4">
        <v>49</v>
      </c>
      <c r="Q518" s="4" t="str">
        <f t="shared" si="32"/>
        <v>朝阳市</v>
      </c>
      <c r="R518" s="4">
        <f t="shared" si="30"/>
        <v>6</v>
      </c>
      <c r="S518" s="4" t="str">
        <f t="shared" si="31"/>
        <v>辽宁省</v>
      </c>
    </row>
    <row r="519" spans="14:19">
      <c r="N519" s="4">
        <v>518</v>
      </c>
      <c r="O519" s="4" t="s">
        <v>1412</v>
      </c>
      <c r="P519" s="4">
        <v>49</v>
      </c>
      <c r="Q519" s="4" t="str">
        <f t="shared" si="32"/>
        <v>朝阳市</v>
      </c>
      <c r="R519" s="4">
        <f t="shared" si="30"/>
        <v>6</v>
      </c>
      <c r="S519" s="4" t="str">
        <f t="shared" si="31"/>
        <v>辽宁省</v>
      </c>
    </row>
    <row r="520" spans="14:19">
      <c r="N520" s="4">
        <v>519</v>
      </c>
      <c r="O520" s="4" t="s">
        <v>1413</v>
      </c>
      <c r="P520" s="4">
        <v>49</v>
      </c>
      <c r="Q520" s="4" t="str">
        <f t="shared" si="32"/>
        <v>朝阳市</v>
      </c>
      <c r="R520" s="4">
        <f t="shared" si="30"/>
        <v>6</v>
      </c>
      <c r="S520" s="4" t="str">
        <f t="shared" si="31"/>
        <v>辽宁省</v>
      </c>
    </row>
    <row r="521" spans="14:19">
      <c r="N521" s="4">
        <v>520</v>
      </c>
      <c r="O521" s="4" t="s">
        <v>1414</v>
      </c>
      <c r="P521" s="4">
        <v>49</v>
      </c>
      <c r="Q521" s="4" t="str">
        <f t="shared" si="32"/>
        <v>朝阳市</v>
      </c>
      <c r="R521" s="4">
        <f t="shared" si="30"/>
        <v>6</v>
      </c>
      <c r="S521" s="4" t="str">
        <f t="shared" si="31"/>
        <v>辽宁省</v>
      </c>
    </row>
    <row r="522" spans="14:19">
      <c r="N522" s="4">
        <v>521</v>
      </c>
      <c r="O522" s="4" t="s">
        <v>1415</v>
      </c>
      <c r="P522" s="4">
        <v>49</v>
      </c>
      <c r="Q522" s="4" t="str">
        <f t="shared" si="32"/>
        <v>朝阳市</v>
      </c>
      <c r="R522" s="4">
        <f t="shared" si="30"/>
        <v>6</v>
      </c>
      <c r="S522" s="4" t="str">
        <f t="shared" si="31"/>
        <v>辽宁省</v>
      </c>
    </row>
    <row r="523" spans="14:19">
      <c r="N523" s="4">
        <v>522</v>
      </c>
      <c r="O523" s="4" t="s">
        <v>1416</v>
      </c>
      <c r="P523" s="4">
        <v>49</v>
      </c>
      <c r="Q523" s="4" t="str">
        <f t="shared" si="32"/>
        <v>朝阳市</v>
      </c>
      <c r="R523" s="4">
        <f t="shared" si="30"/>
        <v>6</v>
      </c>
      <c r="S523" s="4" t="str">
        <f t="shared" si="31"/>
        <v>辽宁省</v>
      </c>
    </row>
    <row r="524" spans="14:19">
      <c r="N524" s="4">
        <v>523</v>
      </c>
      <c r="O524" s="4" t="s">
        <v>1417</v>
      </c>
      <c r="P524" s="4">
        <v>50</v>
      </c>
      <c r="Q524" s="4" t="str">
        <f t="shared" si="32"/>
        <v>葫芦岛市</v>
      </c>
      <c r="R524" s="4">
        <f t="shared" si="30"/>
        <v>6</v>
      </c>
      <c r="S524" s="4" t="str">
        <f t="shared" si="31"/>
        <v>辽宁省</v>
      </c>
    </row>
    <row r="525" spans="14:19">
      <c r="N525" s="4">
        <v>524</v>
      </c>
      <c r="O525" s="4" t="s">
        <v>1418</v>
      </c>
      <c r="P525" s="4">
        <v>50</v>
      </c>
      <c r="Q525" s="4" t="str">
        <f t="shared" si="32"/>
        <v>葫芦岛市</v>
      </c>
      <c r="R525" s="4">
        <f t="shared" si="30"/>
        <v>6</v>
      </c>
      <c r="S525" s="4" t="str">
        <f t="shared" si="31"/>
        <v>辽宁省</v>
      </c>
    </row>
    <row r="526" spans="14:19">
      <c r="N526" s="4">
        <v>525</v>
      </c>
      <c r="O526" s="4" t="s">
        <v>1419</v>
      </c>
      <c r="P526" s="4">
        <v>50</v>
      </c>
      <c r="Q526" s="4" t="str">
        <f t="shared" si="32"/>
        <v>葫芦岛市</v>
      </c>
      <c r="R526" s="4">
        <f t="shared" si="30"/>
        <v>6</v>
      </c>
      <c r="S526" s="4" t="str">
        <f t="shared" si="31"/>
        <v>辽宁省</v>
      </c>
    </row>
    <row r="527" spans="14:19">
      <c r="N527" s="4">
        <v>526</v>
      </c>
      <c r="O527" s="4" t="s">
        <v>1420</v>
      </c>
      <c r="P527" s="4">
        <v>50</v>
      </c>
      <c r="Q527" s="4" t="str">
        <f t="shared" si="32"/>
        <v>葫芦岛市</v>
      </c>
      <c r="R527" s="4">
        <f t="shared" si="30"/>
        <v>6</v>
      </c>
      <c r="S527" s="4" t="str">
        <f t="shared" si="31"/>
        <v>辽宁省</v>
      </c>
    </row>
    <row r="528" spans="14:19">
      <c r="N528" s="4">
        <v>527</v>
      </c>
      <c r="O528" s="4" t="s">
        <v>1421</v>
      </c>
      <c r="P528" s="4">
        <v>50</v>
      </c>
      <c r="Q528" s="4" t="str">
        <f t="shared" si="32"/>
        <v>葫芦岛市</v>
      </c>
      <c r="R528" s="4">
        <f t="shared" si="30"/>
        <v>6</v>
      </c>
      <c r="S528" s="4" t="str">
        <f t="shared" si="31"/>
        <v>辽宁省</v>
      </c>
    </row>
    <row r="529" spans="14:19">
      <c r="N529" s="4">
        <v>528</v>
      </c>
      <c r="O529" s="4" t="s">
        <v>1422</v>
      </c>
      <c r="P529" s="4">
        <v>50</v>
      </c>
      <c r="Q529" s="4" t="str">
        <f t="shared" si="32"/>
        <v>葫芦岛市</v>
      </c>
      <c r="R529" s="4">
        <f t="shared" si="30"/>
        <v>6</v>
      </c>
      <c r="S529" s="4" t="str">
        <f t="shared" si="31"/>
        <v>辽宁省</v>
      </c>
    </row>
    <row r="530" spans="14:19">
      <c r="N530" s="4">
        <v>529</v>
      </c>
      <c r="O530" s="4" t="s">
        <v>1423</v>
      </c>
      <c r="P530" s="4">
        <v>51</v>
      </c>
      <c r="Q530" s="4" t="str">
        <f t="shared" si="32"/>
        <v>长春市</v>
      </c>
      <c r="R530" s="4">
        <f t="shared" si="30"/>
        <v>7</v>
      </c>
      <c r="S530" s="4" t="str">
        <f t="shared" si="31"/>
        <v>吉林省</v>
      </c>
    </row>
    <row r="531" spans="14:19">
      <c r="N531" s="4">
        <v>530</v>
      </c>
      <c r="O531" s="4" t="s">
        <v>1424</v>
      </c>
      <c r="P531" s="4">
        <v>51</v>
      </c>
      <c r="Q531" s="4" t="str">
        <f t="shared" si="32"/>
        <v>长春市</v>
      </c>
      <c r="R531" s="4">
        <f t="shared" si="30"/>
        <v>7</v>
      </c>
      <c r="S531" s="4" t="str">
        <f t="shared" si="31"/>
        <v>吉林省</v>
      </c>
    </row>
    <row r="532" spans="14:19">
      <c r="N532" s="4">
        <v>531</v>
      </c>
      <c r="O532" s="4" t="s">
        <v>163</v>
      </c>
      <c r="P532" s="4">
        <v>51</v>
      </c>
      <c r="Q532" s="4" t="str">
        <f t="shared" si="32"/>
        <v>长春市</v>
      </c>
      <c r="R532" s="4">
        <f t="shared" si="30"/>
        <v>7</v>
      </c>
      <c r="S532" s="4" t="str">
        <f t="shared" si="31"/>
        <v>吉林省</v>
      </c>
    </row>
    <row r="533" spans="14:19">
      <c r="N533" s="4">
        <v>532</v>
      </c>
      <c r="O533" s="4" t="s">
        <v>1425</v>
      </c>
      <c r="P533" s="4">
        <v>51</v>
      </c>
      <c r="Q533" s="4" t="str">
        <f t="shared" si="32"/>
        <v>长春市</v>
      </c>
      <c r="R533" s="4">
        <f t="shared" si="30"/>
        <v>7</v>
      </c>
      <c r="S533" s="4" t="str">
        <f t="shared" si="31"/>
        <v>吉林省</v>
      </c>
    </row>
    <row r="534" spans="14:19">
      <c r="N534" s="4">
        <v>533</v>
      </c>
      <c r="O534" s="4" t="s">
        <v>1426</v>
      </c>
      <c r="P534" s="4">
        <v>51</v>
      </c>
      <c r="Q534" s="4" t="str">
        <f t="shared" si="32"/>
        <v>长春市</v>
      </c>
      <c r="R534" s="4">
        <f t="shared" si="30"/>
        <v>7</v>
      </c>
      <c r="S534" s="4" t="str">
        <f t="shared" si="31"/>
        <v>吉林省</v>
      </c>
    </row>
    <row r="535" spans="14:19">
      <c r="N535" s="4">
        <v>534</v>
      </c>
      <c r="O535" s="4" t="s">
        <v>1427</v>
      </c>
      <c r="P535" s="4">
        <v>51</v>
      </c>
      <c r="Q535" s="4" t="str">
        <f t="shared" si="32"/>
        <v>长春市</v>
      </c>
      <c r="R535" s="4">
        <f t="shared" si="30"/>
        <v>7</v>
      </c>
      <c r="S535" s="4" t="str">
        <f t="shared" si="31"/>
        <v>吉林省</v>
      </c>
    </row>
    <row r="536" spans="14:19">
      <c r="N536" s="4">
        <v>535</v>
      </c>
      <c r="O536" s="4" t="s">
        <v>1428</v>
      </c>
      <c r="P536" s="4">
        <v>51</v>
      </c>
      <c r="Q536" s="4" t="str">
        <f t="shared" si="32"/>
        <v>长春市</v>
      </c>
      <c r="R536" s="4">
        <f t="shared" si="30"/>
        <v>7</v>
      </c>
      <c r="S536" s="4" t="str">
        <f t="shared" si="31"/>
        <v>吉林省</v>
      </c>
    </row>
    <row r="537" spans="14:19">
      <c r="N537" s="4">
        <v>536</v>
      </c>
      <c r="O537" s="4" t="s">
        <v>1429</v>
      </c>
      <c r="P537" s="4">
        <v>51</v>
      </c>
      <c r="Q537" s="4" t="str">
        <f t="shared" si="32"/>
        <v>长春市</v>
      </c>
      <c r="R537" s="4">
        <f t="shared" si="30"/>
        <v>7</v>
      </c>
      <c r="S537" s="4" t="str">
        <f t="shared" si="31"/>
        <v>吉林省</v>
      </c>
    </row>
    <row r="538" spans="14:19">
      <c r="N538" s="4">
        <v>537</v>
      </c>
      <c r="O538" s="4" t="s">
        <v>1430</v>
      </c>
      <c r="P538" s="4">
        <v>51</v>
      </c>
      <c r="Q538" s="4" t="str">
        <f t="shared" si="32"/>
        <v>长春市</v>
      </c>
      <c r="R538" s="4">
        <f t="shared" si="30"/>
        <v>7</v>
      </c>
      <c r="S538" s="4" t="str">
        <f t="shared" si="31"/>
        <v>吉林省</v>
      </c>
    </row>
    <row r="539" spans="14:19">
      <c r="N539" s="4">
        <v>538</v>
      </c>
      <c r="O539" s="4" t="s">
        <v>1431</v>
      </c>
      <c r="P539" s="4">
        <v>51</v>
      </c>
      <c r="Q539" s="4" t="str">
        <f t="shared" si="32"/>
        <v>长春市</v>
      </c>
      <c r="R539" s="4">
        <f t="shared" si="30"/>
        <v>7</v>
      </c>
      <c r="S539" s="4" t="str">
        <f t="shared" si="31"/>
        <v>吉林省</v>
      </c>
    </row>
    <row r="540" spans="14:19">
      <c r="N540" s="4">
        <v>539</v>
      </c>
      <c r="O540" s="4" t="s">
        <v>1432</v>
      </c>
      <c r="P540" s="4">
        <v>52</v>
      </c>
      <c r="Q540" s="4" t="str">
        <f t="shared" si="32"/>
        <v>吉林市</v>
      </c>
      <c r="R540" s="4">
        <f t="shared" si="30"/>
        <v>7</v>
      </c>
      <c r="S540" s="4" t="str">
        <f t="shared" si="31"/>
        <v>吉林省</v>
      </c>
    </row>
    <row r="541" spans="14:19">
      <c r="N541" s="4">
        <v>540</v>
      </c>
      <c r="O541" s="4" t="s">
        <v>1433</v>
      </c>
      <c r="P541" s="4">
        <v>52</v>
      </c>
      <c r="Q541" s="4" t="str">
        <f t="shared" si="32"/>
        <v>吉林市</v>
      </c>
      <c r="R541" s="4">
        <f t="shared" si="30"/>
        <v>7</v>
      </c>
      <c r="S541" s="4" t="str">
        <f t="shared" si="31"/>
        <v>吉林省</v>
      </c>
    </row>
    <row r="542" spans="14:19">
      <c r="N542" s="4">
        <v>541</v>
      </c>
      <c r="O542" s="4" t="s">
        <v>1434</v>
      </c>
      <c r="P542" s="4">
        <v>52</v>
      </c>
      <c r="Q542" s="4" t="str">
        <f t="shared" si="32"/>
        <v>吉林市</v>
      </c>
      <c r="R542" s="4">
        <f t="shared" si="30"/>
        <v>7</v>
      </c>
      <c r="S542" s="4" t="str">
        <f t="shared" si="31"/>
        <v>吉林省</v>
      </c>
    </row>
    <row r="543" spans="14:19">
      <c r="N543" s="4">
        <v>542</v>
      </c>
      <c r="O543" s="4" t="s">
        <v>1435</v>
      </c>
      <c r="P543" s="4">
        <v>52</v>
      </c>
      <c r="Q543" s="4" t="str">
        <f t="shared" si="32"/>
        <v>吉林市</v>
      </c>
      <c r="R543" s="4">
        <f t="shared" si="30"/>
        <v>7</v>
      </c>
      <c r="S543" s="4" t="str">
        <f t="shared" si="31"/>
        <v>吉林省</v>
      </c>
    </row>
    <row r="544" spans="14:19">
      <c r="N544" s="4">
        <v>543</v>
      </c>
      <c r="O544" s="4" t="s">
        <v>1436</v>
      </c>
      <c r="P544" s="4">
        <v>52</v>
      </c>
      <c r="Q544" s="4" t="str">
        <f t="shared" si="32"/>
        <v>吉林市</v>
      </c>
      <c r="R544" s="4">
        <f t="shared" si="30"/>
        <v>7</v>
      </c>
      <c r="S544" s="4" t="str">
        <f t="shared" si="31"/>
        <v>吉林省</v>
      </c>
    </row>
    <row r="545" spans="14:19">
      <c r="N545" s="4">
        <v>544</v>
      </c>
      <c r="O545" s="4" t="s">
        <v>1437</v>
      </c>
      <c r="P545" s="4">
        <v>52</v>
      </c>
      <c r="Q545" s="4" t="str">
        <f t="shared" si="32"/>
        <v>吉林市</v>
      </c>
      <c r="R545" s="4">
        <f t="shared" si="30"/>
        <v>7</v>
      </c>
      <c r="S545" s="4" t="str">
        <f t="shared" si="31"/>
        <v>吉林省</v>
      </c>
    </row>
    <row r="546" spans="14:19">
      <c r="N546" s="4">
        <v>545</v>
      </c>
      <c r="O546" s="4" t="s">
        <v>1438</v>
      </c>
      <c r="P546" s="4">
        <v>52</v>
      </c>
      <c r="Q546" s="4" t="str">
        <f t="shared" si="32"/>
        <v>吉林市</v>
      </c>
      <c r="R546" s="4">
        <f t="shared" si="30"/>
        <v>7</v>
      </c>
      <c r="S546" s="4" t="str">
        <f t="shared" si="31"/>
        <v>吉林省</v>
      </c>
    </row>
    <row r="547" spans="14:19">
      <c r="N547" s="4">
        <v>546</v>
      </c>
      <c r="O547" s="4" t="s">
        <v>1439</v>
      </c>
      <c r="P547" s="4">
        <v>52</v>
      </c>
      <c r="Q547" s="4" t="str">
        <f t="shared" si="32"/>
        <v>吉林市</v>
      </c>
      <c r="R547" s="4">
        <f t="shared" si="30"/>
        <v>7</v>
      </c>
      <c r="S547" s="4" t="str">
        <f t="shared" si="31"/>
        <v>吉林省</v>
      </c>
    </row>
    <row r="548" spans="14:19">
      <c r="N548" s="4">
        <v>547</v>
      </c>
      <c r="O548" s="4" t="s">
        <v>1440</v>
      </c>
      <c r="P548" s="4">
        <v>52</v>
      </c>
      <c r="Q548" s="4" t="str">
        <f t="shared" si="32"/>
        <v>吉林市</v>
      </c>
      <c r="R548" s="4">
        <f t="shared" si="30"/>
        <v>7</v>
      </c>
      <c r="S548" s="4" t="str">
        <f t="shared" si="31"/>
        <v>吉林省</v>
      </c>
    </row>
    <row r="549" spans="14:19">
      <c r="N549" s="4">
        <v>548</v>
      </c>
      <c r="O549" s="4" t="s">
        <v>1328</v>
      </c>
      <c r="P549" s="4">
        <v>53</v>
      </c>
      <c r="Q549" s="4" t="str">
        <f t="shared" si="32"/>
        <v>四平市</v>
      </c>
      <c r="R549" s="4">
        <f t="shared" si="30"/>
        <v>7</v>
      </c>
      <c r="S549" s="4" t="str">
        <f t="shared" si="31"/>
        <v>吉林省</v>
      </c>
    </row>
    <row r="550" spans="14:19">
      <c r="N550" s="4">
        <v>549</v>
      </c>
      <c r="O550" s="4" t="s">
        <v>1347</v>
      </c>
      <c r="P550" s="4">
        <v>53</v>
      </c>
      <c r="Q550" s="4" t="str">
        <f t="shared" si="32"/>
        <v>四平市</v>
      </c>
      <c r="R550" s="4">
        <f t="shared" si="30"/>
        <v>7</v>
      </c>
      <c r="S550" s="4" t="str">
        <f t="shared" si="31"/>
        <v>吉林省</v>
      </c>
    </row>
    <row r="551" spans="14:19">
      <c r="N551" s="4">
        <v>550</v>
      </c>
      <c r="O551" s="4" t="s">
        <v>1441</v>
      </c>
      <c r="P551" s="4">
        <v>53</v>
      </c>
      <c r="Q551" s="4" t="str">
        <f t="shared" si="32"/>
        <v>四平市</v>
      </c>
      <c r="R551" s="4">
        <f t="shared" si="30"/>
        <v>7</v>
      </c>
      <c r="S551" s="4" t="str">
        <f t="shared" si="31"/>
        <v>吉林省</v>
      </c>
    </row>
    <row r="552" spans="14:19">
      <c r="N552" s="4">
        <v>551</v>
      </c>
      <c r="O552" s="4" t="s">
        <v>1442</v>
      </c>
      <c r="P552" s="4">
        <v>53</v>
      </c>
      <c r="Q552" s="4" t="str">
        <f t="shared" si="32"/>
        <v>四平市</v>
      </c>
      <c r="R552" s="4">
        <f t="shared" si="30"/>
        <v>7</v>
      </c>
      <c r="S552" s="4" t="str">
        <f t="shared" si="31"/>
        <v>吉林省</v>
      </c>
    </row>
    <row r="553" spans="14:19">
      <c r="N553" s="4">
        <v>552</v>
      </c>
      <c r="O553" s="4" t="s">
        <v>1443</v>
      </c>
      <c r="P553" s="4">
        <v>53</v>
      </c>
      <c r="Q553" s="4" t="str">
        <f t="shared" si="32"/>
        <v>四平市</v>
      </c>
      <c r="R553" s="4">
        <f t="shared" si="30"/>
        <v>7</v>
      </c>
      <c r="S553" s="4" t="str">
        <f t="shared" si="31"/>
        <v>吉林省</v>
      </c>
    </row>
    <row r="554" spans="14:19">
      <c r="N554" s="4">
        <v>553</v>
      </c>
      <c r="O554" s="4" t="s">
        <v>1444</v>
      </c>
      <c r="P554" s="4">
        <v>53</v>
      </c>
      <c r="Q554" s="4" t="str">
        <f t="shared" si="32"/>
        <v>四平市</v>
      </c>
      <c r="R554" s="4">
        <f t="shared" si="30"/>
        <v>7</v>
      </c>
      <c r="S554" s="4" t="str">
        <f t="shared" si="31"/>
        <v>吉林省</v>
      </c>
    </row>
    <row r="555" spans="14:19">
      <c r="N555" s="4">
        <v>554</v>
      </c>
      <c r="O555" s="4" t="s">
        <v>1445</v>
      </c>
      <c r="P555" s="4">
        <v>54</v>
      </c>
      <c r="Q555" s="4" t="str">
        <f t="shared" si="32"/>
        <v>辽源市</v>
      </c>
      <c r="R555" s="4">
        <f t="shared" si="30"/>
        <v>7</v>
      </c>
      <c r="S555" s="4" t="str">
        <f t="shared" si="31"/>
        <v>吉林省</v>
      </c>
    </row>
    <row r="556" spans="14:19">
      <c r="N556" s="4">
        <v>555</v>
      </c>
      <c r="O556" s="4" t="s">
        <v>1446</v>
      </c>
      <c r="P556" s="4">
        <v>54</v>
      </c>
      <c r="Q556" s="4" t="str">
        <f t="shared" si="32"/>
        <v>辽源市</v>
      </c>
      <c r="R556" s="4">
        <f t="shared" si="30"/>
        <v>7</v>
      </c>
      <c r="S556" s="4" t="str">
        <f t="shared" si="31"/>
        <v>吉林省</v>
      </c>
    </row>
    <row r="557" spans="14:19">
      <c r="N557" s="4">
        <v>556</v>
      </c>
      <c r="O557" s="4" t="s">
        <v>1447</v>
      </c>
      <c r="P557" s="4">
        <v>54</v>
      </c>
      <c r="Q557" s="4" t="str">
        <f t="shared" si="32"/>
        <v>辽源市</v>
      </c>
      <c r="R557" s="4">
        <f t="shared" si="30"/>
        <v>7</v>
      </c>
      <c r="S557" s="4" t="str">
        <f t="shared" si="31"/>
        <v>吉林省</v>
      </c>
    </row>
    <row r="558" spans="14:19">
      <c r="N558" s="4">
        <v>557</v>
      </c>
      <c r="O558" s="4" t="s">
        <v>1448</v>
      </c>
      <c r="P558" s="4">
        <v>54</v>
      </c>
      <c r="Q558" s="4" t="str">
        <f t="shared" si="32"/>
        <v>辽源市</v>
      </c>
      <c r="R558" s="4">
        <f t="shared" si="30"/>
        <v>7</v>
      </c>
      <c r="S558" s="4" t="str">
        <f t="shared" si="31"/>
        <v>吉林省</v>
      </c>
    </row>
    <row r="559" spans="14:19">
      <c r="N559" s="4">
        <v>558</v>
      </c>
      <c r="O559" s="4" t="s">
        <v>1449</v>
      </c>
      <c r="P559" s="4">
        <v>55</v>
      </c>
      <c r="Q559" s="4" t="str">
        <f t="shared" si="32"/>
        <v>通化市</v>
      </c>
      <c r="R559" s="4">
        <f t="shared" si="30"/>
        <v>7</v>
      </c>
      <c r="S559" s="4" t="str">
        <f t="shared" si="31"/>
        <v>吉林省</v>
      </c>
    </row>
    <row r="560" spans="14:19">
      <c r="N560" s="4">
        <v>559</v>
      </c>
      <c r="O560" s="4" t="s">
        <v>1450</v>
      </c>
      <c r="P560" s="4">
        <v>55</v>
      </c>
      <c r="Q560" s="4" t="str">
        <f t="shared" si="32"/>
        <v>通化市</v>
      </c>
      <c r="R560" s="4">
        <f t="shared" si="30"/>
        <v>7</v>
      </c>
      <c r="S560" s="4" t="str">
        <f t="shared" si="31"/>
        <v>吉林省</v>
      </c>
    </row>
    <row r="561" spans="14:19">
      <c r="N561" s="4">
        <v>560</v>
      </c>
      <c r="O561" s="4" t="s">
        <v>1451</v>
      </c>
      <c r="P561" s="4">
        <v>55</v>
      </c>
      <c r="Q561" s="4" t="str">
        <f t="shared" si="32"/>
        <v>通化市</v>
      </c>
      <c r="R561" s="4">
        <f t="shared" si="30"/>
        <v>7</v>
      </c>
      <c r="S561" s="4" t="str">
        <f t="shared" si="31"/>
        <v>吉林省</v>
      </c>
    </row>
    <row r="562" spans="14:19">
      <c r="N562" s="4">
        <v>561</v>
      </c>
      <c r="O562" s="4" t="s">
        <v>1452</v>
      </c>
      <c r="P562" s="4">
        <v>55</v>
      </c>
      <c r="Q562" s="4" t="str">
        <f t="shared" si="32"/>
        <v>通化市</v>
      </c>
      <c r="R562" s="4">
        <f t="shared" si="30"/>
        <v>7</v>
      </c>
      <c r="S562" s="4" t="str">
        <f t="shared" si="31"/>
        <v>吉林省</v>
      </c>
    </row>
    <row r="563" spans="14:19">
      <c r="N563" s="4">
        <v>562</v>
      </c>
      <c r="O563" s="4" t="s">
        <v>1453</v>
      </c>
      <c r="P563" s="4">
        <v>55</v>
      </c>
      <c r="Q563" s="4" t="str">
        <f t="shared" si="32"/>
        <v>通化市</v>
      </c>
      <c r="R563" s="4">
        <f t="shared" si="30"/>
        <v>7</v>
      </c>
      <c r="S563" s="4" t="str">
        <f t="shared" si="31"/>
        <v>吉林省</v>
      </c>
    </row>
    <row r="564" spans="14:19">
      <c r="N564" s="4">
        <v>563</v>
      </c>
      <c r="O564" s="4" t="s">
        <v>1454</v>
      </c>
      <c r="P564" s="4">
        <v>55</v>
      </c>
      <c r="Q564" s="4" t="str">
        <f t="shared" si="32"/>
        <v>通化市</v>
      </c>
      <c r="R564" s="4">
        <f t="shared" si="30"/>
        <v>7</v>
      </c>
      <c r="S564" s="4" t="str">
        <f t="shared" si="31"/>
        <v>吉林省</v>
      </c>
    </row>
    <row r="565" spans="14:19">
      <c r="N565" s="4">
        <v>564</v>
      </c>
      <c r="O565" s="4" t="s">
        <v>1455</v>
      </c>
      <c r="P565" s="4">
        <v>55</v>
      </c>
      <c r="Q565" s="4" t="str">
        <f t="shared" si="32"/>
        <v>通化市</v>
      </c>
      <c r="R565" s="4">
        <f t="shared" si="30"/>
        <v>7</v>
      </c>
      <c r="S565" s="4" t="str">
        <f t="shared" si="31"/>
        <v>吉林省</v>
      </c>
    </row>
    <row r="566" spans="14:19">
      <c r="N566" s="4">
        <v>565</v>
      </c>
      <c r="O566" s="4" t="s">
        <v>1456</v>
      </c>
      <c r="P566" s="4">
        <v>56</v>
      </c>
      <c r="Q566" s="4" t="str">
        <f t="shared" si="32"/>
        <v>白山市</v>
      </c>
      <c r="R566" s="4">
        <f t="shared" si="30"/>
        <v>7</v>
      </c>
      <c r="S566" s="4" t="str">
        <f t="shared" si="31"/>
        <v>吉林省</v>
      </c>
    </row>
    <row r="567" spans="14:19">
      <c r="N567" s="4">
        <v>566</v>
      </c>
      <c r="O567" s="4" t="s">
        <v>1457</v>
      </c>
      <c r="P567" s="4">
        <v>56</v>
      </c>
      <c r="Q567" s="4" t="str">
        <f t="shared" si="32"/>
        <v>白山市</v>
      </c>
      <c r="R567" s="4">
        <f t="shared" si="30"/>
        <v>7</v>
      </c>
      <c r="S567" s="4" t="str">
        <f t="shared" si="31"/>
        <v>吉林省</v>
      </c>
    </row>
    <row r="568" spans="14:19">
      <c r="N568" s="4">
        <v>567</v>
      </c>
      <c r="O568" s="4" t="s">
        <v>1458</v>
      </c>
      <c r="P568" s="4">
        <v>56</v>
      </c>
      <c r="Q568" s="4" t="str">
        <f t="shared" si="32"/>
        <v>白山市</v>
      </c>
      <c r="R568" s="4">
        <f t="shared" si="30"/>
        <v>7</v>
      </c>
      <c r="S568" s="4" t="str">
        <f t="shared" si="31"/>
        <v>吉林省</v>
      </c>
    </row>
    <row r="569" spans="14:19">
      <c r="N569" s="4">
        <v>568</v>
      </c>
      <c r="O569" s="4" t="s">
        <v>1459</v>
      </c>
      <c r="P569" s="4">
        <v>56</v>
      </c>
      <c r="Q569" s="4" t="str">
        <f t="shared" si="32"/>
        <v>白山市</v>
      </c>
      <c r="R569" s="4">
        <f t="shared" si="30"/>
        <v>7</v>
      </c>
      <c r="S569" s="4" t="str">
        <f t="shared" si="31"/>
        <v>吉林省</v>
      </c>
    </row>
    <row r="570" spans="14:19">
      <c r="N570" s="4">
        <v>569</v>
      </c>
      <c r="O570" s="4" t="s">
        <v>1460</v>
      </c>
      <c r="P570" s="4">
        <v>56</v>
      </c>
      <c r="Q570" s="4" t="str">
        <f t="shared" si="32"/>
        <v>白山市</v>
      </c>
      <c r="R570" s="4">
        <f t="shared" si="30"/>
        <v>7</v>
      </c>
      <c r="S570" s="4" t="str">
        <f t="shared" si="31"/>
        <v>吉林省</v>
      </c>
    </row>
    <row r="571" spans="14:19">
      <c r="N571" s="4">
        <v>570</v>
      </c>
      <c r="O571" s="4" t="s">
        <v>1461</v>
      </c>
      <c r="P571" s="4">
        <v>56</v>
      </c>
      <c r="Q571" s="4" t="str">
        <f t="shared" si="32"/>
        <v>白山市</v>
      </c>
      <c r="R571" s="4">
        <f t="shared" si="30"/>
        <v>7</v>
      </c>
      <c r="S571" s="4" t="str">
        <f t="shared" si="31"/>
        <v>吉林省</v>
      </c>
    </row>
    <row r="572" spans="14:19">
      <c r="N572" s="4">
        <v>571</v>
      </c>
      <c r="O572" s="4" t="s">
        <v>1462</v>
      </c>
      <c r="P572" s="4">
        <v>57</v>
      </c>
      <c r="Q572" s="4" t="str">
        <f t="shared" si="32"/>
        <v>松原市</v>
      </c>
      <c r="R572" s="4">
        <f t="shared" si="30"/>
        <v>7</v>
      </c>
      <c r="S572" s="4" t="str">
        <f t="shared" si="31"/>
        <v>吉林省</v>
      </c>
    </row>
    <row r="573" spans="14:19">
      <c r="N573" s="4">
        <v>572</v>
      </c>
      <c r="O573" s="4" t="s">
        <v>1463</v>
      </c>
      <c r="P573" s="4">
        <v>57</v>
      </c>
      <c r="Q573" s="4" t="str">
        <f t="shared" si="32"/>
        <v>松原市</v>
      </c>
      <c r="R573" s="4">
        <f t="shared" si="30"/>
        <v>7</v>
      </c>
      <c r="S573" s="4" t="str">
        <f t="shared" si="31"/>
        <v>吉林省</v>
      </c>
    </row>
    <row r="574" spans="14:19">
      <c r="N574" s="4">
        <v>573</v>
      </c>
      <c r="O574" s="4" t="s">
        <v>1464</v>
      </c>
      <c r="P574" s="4">
        <v>57</v>
      </c>
      <c r="Q574" s="4" t="str">
        <f t="shared" si="32"/>
        <v>松原市</v>
      </c>
      <c r="R574" s="4">
        <f t="shared" si="30"/>
        <v>7</v>
      </c>
      <c r="S574" s="4" t="str">
        <f t="shared" si="31"/>
        <v>吉林省</v>
      </c>
    </row>
    <row r="575" spans="14:19">
      <c r="N575" s="4">
        <v>574</v>
      </c>
      <c r="O575" s="4" t="s">
        <v>1465</v>
      </c>
      <c r="P575" s="4">
        <v>57</v>
      </c>
      <c r="Q575" s="4" t="str">
        <f t="shared" si="32"/>
        <v>松原市</v>
      </c>
      <c r="R575" s="4">
        <f t="shared" si="30"/>
        <v>7</v>
      </c>
      <c r="S575" s="4" t="str">
        <f t="shared" si="31"/>
        <v>吉林省</v>
      </c>
    </row>
    <row r="576" spans="14:19">
      <c r="N576" s="4">
        <v>575</v>
      </c>
      <c r="O576" s="4" t="s">
        <v>1466</v>
      </c>
      <c r="P576" s="4">
        <v>57</v>
      </c>
      <c r="Q576" s="4" t="str">
        <f t="shared" si="32"/>
        <v>松原市</v>
      </c>
      <c r="R576" s="4">
        <f t="shared" si="30"/>
        <v>7</v>
      </c>
      <c r="S576" s="4" t="str">
        <f t="shared" si="31"/>
        <v>吉林省</v>
      </c>
    </row>
    <row r="577" spans="14:19">
      <c r="N577" s="4">
        <v>576</v>
      </c>
      <c r="O577" s="4" t="s">
        <v>1467</v>
      </c>
      <c r="P577" s="4">
        <v>58</v>
      </c>
      <c r="Q577" s="4" t="str">
        <f t="shared" si="32"/>
        <v>白城市</v>
      </c>
      <c r="R577" s="4">
        <f t="shared" si="30"/>
        <v>7</v>
      </c>
      <c r="S577" s="4" t="str">
        <f t="shared" si="31"/>
        <v>吉林省</v>
      </c>
    </row>
    <row r="578" spans="14:19">
      <c r="N578" s="4">
        <v>577</v>
      </c>
      <c r="O578" s="4" t="s">
        <v>1468</v>
      </c>
      <c r="P578" s="4">
        <v>58</v>
      </c>
      <c r="Q578" s="4" t="str">
        <f t="shared" si="32"/>
        <v>白城市</v>
      </c>
      <c r="R578" s="4">
        <f t="shared" ref="R578:R641" si="33">VLOOKUP(P578,$I$2:$M$346,3,FALSE)</f>
        <v>7</v>
      </c>
      <c r="S578" s="4" t="str">
        <f t="shared" ref="S578:S641" si="34">VLOOKUP(P578,$I$2:$M$346,4,FALSE)</f>
        <v>吉林省</v>
      </c>
    </row>
    <row r="579" spans="14:19">
      <c r="N579" s="4">
        <v>578</v>
      </c>
      <c r="O579" s="4" t="s">
        <v>1469</v>
      </c>
      <c r="P579" s="4">
        <v>58</v>
      </c>
      <c r="Q579" s="4" t="str">
        <f t="shared" ref="Q579:Q642" si="35">VLOOKUP(P579,$I$2:$J$346,2,FALSE)</f>
        <v>白城市</v>
      </c>
      <c r="R579" s="4">
        <f t="shared" si="33"/>
        <v>7</v>
      </c>
      <c r="S579" s="4" t="str">
        <f t="shared" si="34"/>
        <v>吉林省</v>
      </c>
    </row>
    <row r="580" spans="14:19">
      <c r="N580" s="4">
        <v>579</v>
      </c>
      <c r="O580" s="4" t="s">
        <v>1470</v>
      </c>
      <c r="P580" s="4">
        <v>58</v>
      </c>
      <c r="Q580" s="4" t="str">
        <f t="shared" si="35"/>
        <v>白城市</v>
      </c>
      <c r="R580" s="4">
        <f t="shared" si="33"/>
        <v>7</v>
      </c>
      <c r="S580" s="4" t="str">
        <f t="shared" si="34"/>
        <v>吉林省</v>
      </c>
    </row>
    <row r="581" spans="14:19">
      <c r="N581" s="4">
        <v>580</v>
      </c>
      <c r="O581" s="4" t="s">
        <v>1471</v>
      </c>
      <c r="P581" s="4">
        <v>58</v>
      </c>
      <c r="Q581" s="4" t="str">
        <f t="shared" si="35"/>
        <v>白城市</v>
      </c>
      <c r="R581" s="4">
        <f t="shared" si="33"/>
        <v>7</v>
      </c>
      <c r="S581" s="4" t="str">
        <f t="shared" si="34"/>
        <v>吉林省</v>
      </c>
    </row>
    <row r="582" spans="14:19">
      <c r="N582" s="4">
        <v>581</v>
      </c>
      <c r="O582" s="4" t="s">
        <v>1472</v>
      </c>
      <c r="P582" s="4">
        <v>59</v>
      </c>
      <c r="Q582" s="4" t="str">
        <f t="shared" si="35"/>
        <v>延边朝鲜族自治州</v>
      </c>
      <c r="R582" s="4">
        <f t="shared" si="33"/>
        <v>7</v>
      </c>
      <c r="S582" s="4" t="str">
        <f t="shared" si="34"/>
        <v>吉林省</v>
      </c>
    </row>
    <row r="583" spans="14:19">
      <c r="N583" s="4">
        <v>582</v>
      </c>
      <c r="O583" s="4" t="s">
        <v>1473</v>
      </c>
      <c r="P583" s="4">
        <v>59</v>
      </c>
      <c r="Q583" s="4" t="str">
        <f t="shared" si="35"/>
        <v>延边朝鲜族自治州</v>
      </c>
      <c r="R583" s="4">
        <f t="shared" si="33"/>
        <v>7</v>
      </c>
      <c r="S583" s="4" t="str">
        <f t="shared" si="34"/>
        <v>吉林省</v>
      </c>
    </row>
    <row r="584" spans="14:19">
      <c r="N584" s="4">
        <v>583</v>
      </c>
      <c r="O584" s="4" t="s">
        <v>1474</v>
      </c>
      <c r="P584" s="4">
        <v>59</v>
      </c>
      <c r="Q584" s="4" t="str">
        <f t="shared" si="35"/>
        <v>延边朝鲜族自治州</v>
      </c>
      <c r="R584" s="4">
        <f t="shared" si="33"/>
        <v>7</v>
      </c>
      <c r="S584" s="4" t="str">
        <f t="shared" si="34"/>
        <v>吉林省</v>
      </c>
    </row>
    <row r="585" spans="14:19">
      <c r="N585" s="4">
        <v>584</v>
      </c>
      <c r="O585" s="4" t="s">
        <v>1475</v>
      </c>
      <c r="P585" s="4">
        <v>59</v>
      </c>
      <c r="Q585" s="4" t="str">
        <f t="shared" si="35"/>
        <v>延边朝鲜族自治州</v>
      </c>
      <c r="R585" s="4">
        <f t="shared" si="33"/>
        <v>7</v>
      </c>
      <c r="S585" s="4" t="str">
        <f t="shared" si="34"/>
        <v>吉林省</v>
      </c>
    </row>
    <row r="586" spans="14:19">
      <c r="N586" s="4">
        <v>585</v>
      </c>
      <c r="O586" s="4" t="s">
        <v>1476</v>
      </c>
      <c r="P586" s="4">
        <v>59</v>
      </c>
      <c r="Q586" s="4" t="str">
        <f t="shared" si="35"/>
        <v>延边朝鲜族自治州</v>
      </c>
      <c r="R586" s="4">
        <f t="shared" si="33"/>
        <v>7</v>
      </c>
      <c r="S586" s="4" t="str">
        <f t="shared" si="34"/>
        <v>吉林省</v>
      </c>
    </row>
    <row r="587" spans="14:19">
      <c r="N587" s="4">
        <v>586</v>
      </c>
      <c r="O587" s="4" t="s">
        <v>1477</v>
      </c>
      <c r="P587" s="4">
        <v>59</v>
      </c>
      <c r="Q587" s="4" t="str">
        <f t="shared" si="35"/>
        <v>延边朝鲜族自治州</v>
      </c>
      <c r="R587" s="4">
        <f t="shared" si="33"/>
        <v>7</v>
      </c>
      <c r="S587" s="4" t="str">
        <f t="shared" si="34"/>
        <v>吉林省</v>
      </c>
    </row>
    <row r="588" spans="14:19">
      <c r="N588" s="4">
        <v>587</v>
      </c>
      <c r="O588" s="4" t="s">
        <v>1478</v>
      </c>
      <c r="P588" s="4">
        <v>59</v>
      </c>
      <c r="Q588" s="4" t="str">
        <f t="shared" si="35"/>
        <v>延边朝鲜族自治州</v>
      </c>
      <c r="R588" s="4">
        <f t="shared" si="33"/>
        <v>7</v>
      </c>
      <c r="S588" s="4" t="str">
        <f t="shared" si="34"/>
        <v>吉林省</v>
      </c>
    </row>
    <row r="589" spans="14:19">
      <c r="N589" s="4">
        <v>588</v>
      </c>
      <c r="O589" s="4" t="s">
        <v>1479</v>
      </c>
      <c r="P589" s="4">
        <v>59</v>
      </c>
      <c r="Q589" s="4" t="str">
        <f t="shared" si="35"/>
        <v>延边朝鲜族自治州</v>
      </c>
      <c r="R589" s="4">
        <f t="shared" si="33"/>
        <v>7</v>
      </c>
      <c r="S589" s="4" t="str">
        <f t="shared" si="34"/>
        <v>吉林省</v>
      </c>
    </row>
    <row r="590" spans="14:19">
      <c r="N590" s="4">
        <v>589</v>
      </c>
      <c r="O590" s="4" t="s">
        <v>1480</v>
      </c>
      <c r="P590" s="4">
        <v>60</v>
      </c>
      <c r="Q590" s="4" t="str">
        <f t="shared" si="35"/>
        <v>哈尔滨市</v>
      </c>
      <c r="R590" s="4">
        <f t="shared" si="33"/>
        <v>8</v>
      </c>
      <c r="S590" s="4" t="str">
        <f t="shared" si="34"/>
        <v>黑龙江省</v>
      </c>
    </row>
    <row r="591" spans="14:19">
      <c r="N591" s="4">
        <v>590</v>
      </c>
      <c r="O591" s="4" t="s">
        <v>1481</v>
      </c>
      <c r="P591" s="4">
        <v>60</v>
      </c>
      <c r="Q591" s="4" t="str">
        <f t="shared" si="35"/>
        <v>哈尔滨市</v>
      </c>
      <c r="R591" s="4">
        <f t="shared" si="33"/>
        <v>8</v>
      </c>
      <c r="S591" s="4" t="str">
        <f t="shared" si="34"/>
        <v>黑龙江省</v>
      </c>
    </row>
    <row r="592" spans="14:19">
      <c r="N592" s="4">
        <v>591</v>
      </c>
      <c r="O592" s="4" t="s">
        <v>1482</v>
      </c>
      <c r="P592" s="4">
        <v>60</v>
      </c>
      <c r="Q592" s="4" t="str">
        <f t="shared" si="35"/>
        <v>哈尔滨市</v>
      </c>
      <c r="R592" s="4">
        <f t="shared" si="33"/>
        <v>8</v>
      </c>
      <c r="S592" s="4" t="str">
        <f t="shared" si="34"/>
        <v>黑龙江省</v>
      </c>
    </row>
    <row r="593" spans="14:19">
      <c r="N593" s="4">
        <v>592</v>
      </c>
      <c r="O593" s="4" t="s">
        <v>1483</v>
      </c>
      <c r="P593" s="4">
        <v>60</v>
      </c>
      <c r="Q593" s="4" t="str">
        <f t="shared" si="35"/>
        <v>哈尔滨市</v>
      </c>
      <c r="R593" s="4">
        <f t="shared" si="33"/>
        <v>8</v>
      </c>
      <c r="S593" s="4" t="str">
        <f t="shared" si="34"/>
        <v>黑龙江省</v>
      </c>
    </row>
    <row r="594" spans="14:19">
      <c r="N594" s="4">
        <v>593</v>
      </c>
      <c r="O594" s="4" t="s">
        <v>1484</v>
      </c>
      <c r="P594" s="4">
        <v>60</v>
      </c>
      <c r="Q594" s="4" t="str">
        <f t="shared" si="35"/>
        <v>哈尔滨市</v>
      </c>
      <c r="R594" s="4">
        <f t="shared" si="33"/>
        <v>8</v>
      </c>
      <c r="S594" s="4" t="str">
        <f t="shared" si="34"/>
        <v>黑龙江省</v>
      </c>
    </row>
    <row r="595" spans="14:19">
      <c r="N595" s="4">
        <v>594</v>
      </c>
      <c r="O595" s="4" t="s">
        <v>1485</v>
      </c>
      <c r="P595" s="4">
        <v>60</v>
      </c>
      <c r="Q595" s="4" t="str">
        <f t="shared" si="35"/>
        <v>哈尔滨市</v>
      </c>
      <c r="R595" s="4">
        <f t="shared" si="33"/>
        <v>8</v>
      </c>
      <c r="S595" s="4" t="str">
        <f t="shared" si="34"/>
        <v>黑龙江省</v>
      </c>
    </row>
    <row r="596" spans="14:19">
      <c r="N596" s="4">
        <v>595</v>
      </c>
      <c r="O596" s="4" t="s">
        <v>1486</v>
      </c>
      <c r="P596" s="4">
        <v>60</v>
      </c>
      <c r="Q596" s="4" t="str">
        <f t="shared" si="35"/>
        <v>哈尔滨市</v>
      </c>
      <c r="R596" s="4">
        <f t="shared" si="33"/>
        <v>8</v>
      </c>
      <c r="S596" s="4" t="str">
        <f t="shared" si="34"/>
        <v>黑龙江省</v>
      </c>
    </row>
    <row r="597" spans="14:19">
      <c r="N597" s="4">
        <v>596</v>
      </c>
      <c r="O597" s="4" t="s">
        <v>1487</v>
      </c>
      <c r="P597" s="4">
        <v>60</v>
      </c>
      <c r="Q597" s="4" t="str">
        <f t="shared" si="35"/>
        <v>哈尔滨市</v>
      </c>
      <c r="R597" s="4">
        <f t="shared" si="33"/>
        <v>8</v>
      </c>
      <c r="S597" s="4" t="str">
        <f t="shared" si="34"/>
        <v>黑龙江省</v>
      </c>
    </row>
    <row r="598" spans="14:19">
      <c r="N598" s="4">
        <v>597</v>
      </c>
      <c r="O598" s="4" t="s">
        <v>1488</v>
      </c>
      <c r="P598" s="4">
        <v>60</v>
      </c>
      <c r="Q598" s="4" t="str">
        <f t="shared" si="35"/>
        <v>哈尔滨市</v>
      </c>
      <c r="R598" s="4">
        <f t="shared" si="33"/>
        <v>8</v>
      </c>
      <c r="S598" s="4" t="str">
        <f t="shared" si="34"/>
        <v>黑龙江省</v>
      </c>
    </row>
    <row r="599" spans="14:19">
      <c r="N599" s="4">
        <v>598</v>
      </c>
      <c r="O599" s="4" t="s">
        <v>1489</v>
      </c>
      <c r="P599" s="4">
        <v>60</v>
      </c>
      <c r="Q599" s="4" t="str">
        <f t="shared" si="35"/>
        <v>哈尔滨市</v>
      </c>
      <c r="R599" s="4">
        <f t="shared" si="33"/>
        <v>8</v>
      </c>
      <c r="S599" s="4" t="str">
        <f t="shared" si="34"/>
        <v>黑龙江省</v>
      </c>
    </row>
    <row r="600" spans="14:19">
      <c r="N600" s="4">
        <v>599</v>
      </c>
      <c r="O600" s="4" t="s">
        <v>1490</v>
      </c>
      <c r="P600" s="4">
        <v>60</v>
      </c>
      <c r="Q600" s="4" t="str">
        <f t="shared" si="35"/>
        <v>哈尔滨市</v>
      </c>
      <c r="R600" s="4">
        <f t="shared" si="33"/>
        <v>8</v>
      </c>
      <c r="S600" s="4" t="str">
        <f t="shared" si="34"/>
        <v>黑龙江省</v>
      </c>
    </row>
    <row r="601" spans="14:19">
      <c r="N601" s="4">
        <v>600</v>
      </c>
      <c r="O601" s="4" t="s">
        <v>1491</v>
      </c>
      <c r="P601" s="4">
        <v>60</v>
      </c>
      <c r="Q601" s="4" t="str">
        <f t="shared" si="35"/>
        <v>哈尔滨市</v>
      </c>
      <c r="R601" s="4">
        <f t="shared" si="33"/>
        <v>8</v>
      </c>
      <c r="S601" s="4" t="str">
        <f t="shared" si="34"/>
        <v>黑龙江省</v>
      </c>
    </row>
    <row r="602" spans="14:19">
      <c r="N602" s="4">
        <v>601</v>
      </c>
      <c r="O602" s="4" t="s">
        <v>1492</v>
      </c>
      <c r="P602" s="4">
        <v>60</v>
      </c>
      <c r="Q602" s="4" t="str">
        <f t="shared" si="35"/>
        <v>哈尔滨市</v>
      </c>
      <c r="R602" s="4">
        <f t="shared" si="33"/>
        <v>8</v>
      </c>
      <c r="S602" s="4" t="str">
        <f t="shared" si="34"/>
        <v>黑龙江省</v>
      </c>
    </row>
    <row r="603" spans="14:19">
      <c r="N603" s="4">
        <v>602</v>
      </c>
      <c r="O603" s="4" t="s">
        <v>1493</v>
      </c>
      <c r="P603" s="4">
        <v>60</v>
      </c>
      <c r="Q603" s="4" t="str">
        <f t="shared" si="35"/>
        <v>哈尔滨市</v>
      </c>
      <c r="R603" s="4">
        <f t="shared" si="33"/>
        <v>8</v>
      </c>
      <c r="S603" s="4" t="str">
        <f t="shared" si="34"/>
        <v>黑龙江省</v>
      </c>
    </row>
    <row r="604" spans="14:19">
      <c r="N604" s="4">
        <v>603</v>
      </c>
      <c r="O604" s="4" t="s">
        <v>1494</v>
      </c>
      <c r="P604" s="4">
        <v>60</v>
      </c>
      <c r="Q604" s="4" t="str">
        <f t="shared" si="35"/>
        <v>哈尔滨市</v>
      </c>
      <c r="R604" s="4">
        <f t="shared" si="33"/>
        <v>8</v>
      </c>
      <c r="S604" s="4" t="str">
        <f t="shared" si="34"/>
        <v>黑龙江省</v>
      </c>
    </row>
    <row r="605" spans="14:19">
      <c r="N605" s="4">
        <v>604</v>
      </c>
      <c r="O605" s="4" t="s">
        <v>1495</v>
      </c>
      <c r="P605" s="4">
        <v>60</v>
      </c>
      <c r="Q605" s="4" t="str">
        <f t="shared" si="35"/>
        <v>哈尔滨市</v>
      </c>
      <c r="R605" s="4">
        <f t="shared" si="33"/>
        <v>8</v>
      </c>
      <c r="S605" s="4" t="str">
        <f t="shared" si="34"/>
        <v>黑龙江省</v>
      </c>
    </row>
    <row r="606" spans="14:19">
      <c r="N606" s="4">
        <v>605</v>
      </c>
      <c r="O606" s="4" t="s">
        <v>1496</v>
      </c>
      <c r="P606" s="4">
        <v>60</v>
      </c>
      <c r="Q606" s="4" t="str">
        <f t="shared" si="35"/>
        <v>哈尔滨市</v>
      </c>
      <c r="R606" s="4">
        <f t="shared" si="33"/>
        <v>8</v>
      </c>
      <c r="S606" s="4" t="str">
        <f t="shared" si="34"/>
        <v>黑龙江省</v>
      </c>
    </row>
    <row r="607" spans="14:19">
      <c r="N607" s="4">
        <v>606</v>
      </c>
      <c r="O607" s="4" t="s">
        <v>1497</v>
      </c>
      <c r="P607" s="4">
        <v>60</v>
      </c>
      <c r="Q607" s="4" t="str">
        <f t="shared" si="35"/>
        <v>哈尔滨市</v>
      </c>
      <c r="R607" s="4">
        <f t="shared" si="33"/>
        <v>8</v>
      </c>
      <c r="S607" s="4" t="str">
        <f t="shared" si="34"/>
        <v>黑龙江省</v>
      </c>
    </row>
    <row r="608" spans="14:19">
      <c r="N608" s="4">
        <v>607</v>
      </c>
      <c r="O608" s="4" t="s">
        <v>1498</v>
      </c>
      <c r="P608" s="4">
        <v>60</v>
      </c>
      <c r="Q608" s="4" t="str">
        <f t="shared" si="35"/>
        <v>哈尔滨市</v>
      </c>
      <c r="R608" s="4">
        <f t="shared" si="33"/>
        <v>8</v>
      </c>
      <c r="S608" s="4" t="str">
        <f t="shared" si="34"/>
        <v>黑龙江省</v>
      </c>
    </row>
    <row r="609" spans="14:19">
      <c r="N609" s="4">
        <v>608</v>
      </c>
      <c r="O609" s="4" t="s">
        <v>1499</v>
      </c>
      <c r="P609" s="4">
        <v>61</v>
      </c>
      <c r="Q609" s="4" t="str">
        <f t="shared" si="35"/>
        <v>齐齐哈尔市</v>
      </c>
      <c r="R609" s="4">
        <f t="shared" si="33"/>
        <v>8</v>
      </c>
      <c r="S609" s="4" t="str">
        <f t="shared" si="34"/>
        <v>黑龙江省</v>
      </c>
    </row>
    <row r="610" spans="14:19">
      <c r="N610" s="4">
        <v>609</v>
      </c>
      <c r="O610" s="4" t="s">
        <v>1500</v>
      </c>
      <c r="P610" s="4">
        <v>61</v>
      </c>
      <c r="Q610" s="4" t="str">
        <f t="shared" si="35"/>
        <v>齐齐哈尔市</v>
      </c>
      <c r="R610" s="4">
        <f t="shared" si="33"/>
        <v>8</v>
      </c>
      <c r="S610" s="4" t="str">
        <f t="shared" si="34"/>
        <v>黑龙江省</v>
      </c>
    </row>
    <row r="611" spans="14:19">
      <c r="N611" s="4">
        <v>610</v>
      </c>
      <c r="O611" s="4" t="s">
        <v>1501</v>
      </c>
      <c r="P611" s="4">
        <v>61</v>
      </c>
      <c r="Q611" s="4" t="str">
        <f t="shared" si="35"/>
        <v>齐齐哈尔市</v>
      </c>
      <c r="R611" s="4">
        <f t="shared" si="33"/>
        <v>8</v>
      </c>
      <c r="S611" s="4" t="str">
        <f t="shared" si="34"/>
        <v>黑龙江省</v>
      </c>
    </row>
    <row r="612" spans="14:19">
      <c r="N612" s="4">
        <v>611</v>
      </c>
      <c r="O612" s="4" t="s">
        <v>1502</v>
      </c>
      <c r="P612" s="4">
        <v>61</v>
      </c>
      <c r="Q612" s="4" t="str">
        <f t="shared" si="35"/>
        <v>齐齐哈尔市</v>
      </c>
      <c r="R612" s="4">
        <f t="shared" si="33"/>
        <v>8</v>
      </c>
      <c r="S612" s="4" t="str">
        <f t="shared" si="34"/>
        <v>黑龙江省</v>
      </c>
    </row>
    <row r="613" spans="14:19">
      <c r="N613" s="4">
        <v>612</v>
      </c>
      <c r="O613" s="4" t="s">
        <v>1503</v>
      </c>
      <c r="P613" s="4">
        <v>61</v>
      </c>
      <c r="Q613" s="4" t="str">
        <f t="shared" si="35"/>
        <v>齐齐哈尔市</v>
      </c>
      <c r="R613" s="4">
        <f t="shared" si="33"/>
        <v>8</v>
      </c>
      <c r="S613" s="4" t="str">
        <f t="shared" si="34"/>
        <v>黑龙江省</v>
      </c>
    </row>
    <row r="614" spans="14:19">
      <c r="N614" s="4">
        <v>613</v>
      </c>
      <c r="O614" s="4" t="s">
        <v>1504</v>
      </c>
      <c r="P614" s="4">
        <v>61</v>
      </c>
      <c r="Q614" s="4" t="str">
        <f t="shared" si="35"/>
        <v>齐齐哈尔市</v>
      </c>
      <c r="R614" s="4">
        <f t="shared" si="33"/>
        <v>8</v>
      </c>
      <c r="S614" s="4" t="str">
        <f t="shared" si="34"/>
        <v>黑龙江省</v>
      </c>
    </row>
    <row r="615" spans="14:19">
      <c r="N615" s="4">
        <v>614</v>
      </c>
      <c r="O615" s="4" t="s">
        <v>1505</v>
      </c>
      <c r="P615" s="4">
        <v>61</v>
      </c>
      <c r="Q615" s="4" t="str">
        <f t="shared" si="35"/>
        <v>齐齐哈尔市</v>
      </c>
      <c r="R615" s="4">
        <f t="shared" si="33"/>
        <v>8</v>
      </c>
      <c r="S615" s="4" t="str">
        <f t="shared" si="34"/>
        <v>黑龙江省</v>
      </c>
    </row>
    <row r="616" spans="14:19">
      <c r="N616" s="4">
        <v>615</v>
      </c>
      <c r="O616" s="4" t="s">
        <v>1506</v>
      </c>
      <c r="P616" s="4">
        <v>61</v>
      </c>
      <c r="Q616" s="4" t="str">
        <f t="shared" si="35"/>
        <v>齐齐哈尔市</v>
      </c>
      <c r="R616" s="4">
        <f t="shared" si="33"/>
        <v>8</v>
      </c>
      <c r="S616" s="4" t="str">
        <f t="shared" si="34"/>
        <v>黑龙江省</v>
      </c>
    </row>
    <row r="617" spans="14:19">
      <c r="N617" s="4">
        <v>616</v>
      </c>
      <c r="O617" s="4" t="s">
        <v>1507</v>
      </c>
      <c r="P617" s="4">
        <v>61</v>
      </c>
      <c r="Q617" s="4" t="str">
        <f t="shared" si="35"/>
        <v>齐齐哈尔市</v>
      </c>
      <c r="R617" s="4">
        <f t="shared" si="33"/>
        <v>8</v>
      </c>
      <c r="S617" s="4" t="str">
        <f t="shared" si="34"/>
        <v>黑龙江省</v>
      </c>
    </row>
    <row r="618" spans="14:19">
      <c r="N618" s="4">
        <v>617</v>
      </c>
      <c r="O618" s="4" t="s">
        <v>1508</v>
      </c>
      <c r="P618" s="4">
        <v>61</v>
      </c>
      <c r="Q618" s="4" t="str">
        <f t="shared" si="35"/>
        <v>齐齐哈尔市</v>
      </c>
      <c r="R618" s="4">
        <f t="shared" si="33"/>
        <v>8</v>
      </c>
      <c r="S618" s="4" t="str">
        <f t="shared" si="34"/>
        <v>黑龙江省</v>
      </c>
    </row>
    <row r="619" spans="14:19">
      <c r="N619" s="4">
        <v>618</v>
      </c>
      <c r="O619" s="4" t="s">
        <v>1509</v>
      </c>
      <c r="P619" s="4">
        <v>61</v>
      </c>
      <c r="Q619" s="4" t="str">
        <f t="shared" si="35"/>
        <v>齐齐哈尔市</v>
      </c>
      <c r="R619" s="4">
        <f t="shared" si="33"/>
        <v>8</v>
      </c>
      <c r="S619" s="4" t="str">
        <f t="shared" si="34"/>
        <v>黑龙江省</v>
      </c>
    </row>
    <row r="620" spans="14:19">
      <c r="N620" s="4">
        <v>619</v>
      </c>
      <c r="O620" s="4" t="s">
        <v>1510</v>
      </c>
      <c r="P620" s="4">
        <v>61</v>
      </c>
      <c r="Q620" s="4" t="str">
        <f t="shared" si="35"/>
        <v>齐齐哈尔市</v>
      </c>
      <c r="R620" s="4">
        <f t="shared" si="33"/>
        <v>8</v>
      </c>
      <c r="S620" s="4" t="str">
        <f t="shared" si="34"/>
        <v>黑龙江省</v>
      </c>
    </row>
    <row r="621" spans="14:19">
      <c r="N621" s="4">
        <v>620</v>
      </c>
      <c r="O621" s="4" t="s">
        <v>1511</v>
      </c>
      <c r="P621" s="4">
        <v>61</v>
      </c>
      <c r="Q621" s="4" t="str">
        <f t="shared" si="35"/>
        <v>齐齐哈尔市</v>
      </c>
      <c r="R621" s="4">
        <f t="shared" si="33"/>
        <v>8</v>
      </c>
      <c r="S621" s="4" t="str">
        <f t="shared" si="34"/>
        <v>黑龙江省</v>
      </c>
    </row>
    <row r="622" spans="14:19">
      <c r="N622" s="4">
        <v>621</v>
      </c>
      <c r="O622" s="4" t="s">
        <v>1512</v>
      </c>
      <c r="P622" s="4">
        <v>61</v>
      </c>
      <c r="Q622" s="4" t="str">
        <f t="shared" si="35"/>
        <v>齐齐哈尔市</v>
      </c>
      <c r="R622" s="4">
        <f t="shared" si="33"/>
        <v>8</v>
      </c>
      <c r="S622" s="4" t="str">
        <f t="shared" si="34"/>
        <v>黑龙江省</v>
      </c>
    </row>
    <row r="623" spans="14:19">
      <c r="N623" s="4">
        <v>622</v>
      </c>
      <c r="O623" s="4" t="s">
        <v>1513</v>
      </c>
      <c r="P623" s="4">
        <v>61</v>
      </c>
      <c r="Q623" s="4" t="str">
        <f t="shared" si="35"/>
        <v>齐齐哈尔市</v>
      </c>
      <c r="R623" s="4">
        <f t="shared" si="33"/>
        <v>8</v>
      </c>
      <c r="S623" s="4" t="str">
        <f t="shared" si="34"/>
        <v>黑龙江省</v>
      </c>
    </row>
    <row r="624" spans="14:19">
      <c r="N624" s="4">
        <v>623</v>
      </c>
      <c r="O624" s="4" t="s">
        <v>1514</v>
      </c>
      <c r="P624" s="4">
        <v>61</v>
      </c>
      <c r="Q624" s="4" t="str">
        <f t="shared" si="35"/>
        <v>齐齐哈尔市</v>
      </c>
      <c r="R624" s="4">
        <f t="shared" si="33"/>
        <v>8</v>
      </c>
      <c r="S624" s="4" t="str">
        <f t="shared" si="34"/>
        <v>黑龙江省</v>
      </c>
    </row>
    <row r="625" spans="14:19">
      <c r="N625" s="4">
        <v>624</v>
      </c>
      <c r="O625" s="4" t="s">
        <v>1515</v>
      </c>
      <c r="P625" s="4">
        <v>62</v>
      </c>
      <c r="Q625" s="4" t="str">
        <f t="shared" si="35"/>
        <v>鸡西市</v>
      </c>
      <c r="R625" s="4">
        <f t="shared" si="33"/>
        <v>8</v>
      </c>
      <c r="S625" s="4" t="str">
        <f t="shared" si="34"/>
        <v>黑龙江省</v>
      </c>
    </row>
    <row r="626" spans="14:19">
      <c r="N626" s="4">
        <v>625</v>
      </c>
      <c r="O626" s="4" t="s">
        <v>1516</v>
      </c>
      <c r="P626" s="4">
        <v>62</v>
      </c>
      <c r="Q626" s="4" t="str">
        <f t="shared" si="35"/>
        <v>鸡西市</v>
      </c>
      <c r="R626" s="4">
        <f t="shared" si="33"/>
        <v>8</v>
      </c>
      <c r="S626" s="4" t="str">
        <f t="shared" si="34"/>
        <v>黑龙江省</v>
      </c>
    </row>
    <row r="627" spans="14:19">
      <c r="N627" s="4">
        <v>626</v>
      </c>
      <c r="O627" s="4" t="s">
        <v>1517</v>
      </c>
      <c r="P627" s="4">
        <v>62</v>
      </c>
      <c r="Q627" s="4" t="str">
        <f t="shared" si="35"/>
        <v>鸡西市</v>
      </c>
      <c r="R627" s="4">
        <f t="shared" si="33"/>
        <v>8</v>
      </c>
      <c r="S627" s="4" t="str">
        <f t="shared" si="34"/>
        <v>黑龙江省</v>
      </c>
    </row>
    <row r="628" spans="14:19">
      <c r="N628" s="4">
        <v>627</v>
      </c>
      <c r="O628" s="4" t="s">
        <v>1518</v>
      </c>
      <c r="P628" s="4">
        <v>62</v>
      </c>
      <c r="Q628" s="4" t="str">
        <f t="shared" si="35"/>
        <v>鸡西市</v>
      </c>
      <c r="R628" s="4">
        <f t="shared" si="33"/>
        <v>8</v>
      </c>
      <c r="S628" s="4" t="str">
        <f t="shared" si="34"/>
        <v>黑龙江省</v>
      </c>
    </row>
    <row r="629" spans="14:19">
      <c r="N629" s="4">
        <v>628</v>
      </c>
      <c r="O629" s="4" t="s">
        <v>1519</v>
      </c>
      <c r="P629" s="4">
        <v>62</v>
      </c>
      <c r="Q629" s="4" t="str">
        <f t="shared" si="35"/>
        <v>鸡西市</v>
      </c>
      <c r="R629" s="4">
        <f t="shared" si="33"/>
        <v>8</v>
      </c>
      <c r="S629" s="4" t="str">
        <f t="shared" si="34"/>
        <v>黑龙江省</v>
      </c>
    </row>
    <row r="630" spans="14:19">
      <c r="N630" s="4">
        <v>629</v>
      </c>
      <c r="O630" s="4" t="s">
        <v>1520</v>
      </c>
      <c r="P630" s="4">
        <v>62</v>
      </c>
      <c r="Q630" s="4" t="str">
        <f t="shared" si="35"/>
        <v>鸡西市</v>
      </c>
      <c r="R630" s="4">
        <f t="shared" si="33"/>
        <v>8</v>
      </c>
      <c r="S630" s="4" t="str">
        <f t="shared" si="34"/>
        <v>黑龙江省</v>
      </c>
    </row>
    <row r="631" spans="14:19">
      <c r="N631" s="4">
        <v>630</v>
      </c>
      <c r="O631" s="4" t="s">
        <v>1521</v>
      </c>
      <c r="P631" s="4">
        <v>62</v>
      </c>
      <c r="Q631" s="4" t="str">
        <f t="shared" si="35"/>
        <v>鸡西市</v>
      </c>
      <c r="R631" s="4">
        <f t="shared" si="33"/>
        <v>8</v>
      </c>
      <c r="S631" s="4" t="str">
        <f t="shared" si="34"/>
        <v>黑龙江省</v>
      </c>
    </row>
    <row r="632" spans="14:19">
      <c r="N632" s="4">
        <v>631</v>
      </c>
      <c r="O632" s="4" t="s">
        <v>1522</v>
      </c>
      <c r="P632" s="4">
        <v>62</v>
      </c>
      <c r="Q632" s="4" t="str">
        <f t="shared" si="35"/>
        <v>鸡西市</v>
      </c>
      <c r="R632" s="4">
        <f t="shared" si="33"/>
        <v>8</v>
      </c>
      <c r="S632" s="4" t="str">
        <f t="shared" si="34"/>
        <v>黑龙江省</v>
      </c>
    </row>
    <row r="633" spans="14:19">
      <c r="N633" s="4">
        <v>632</v>
      </c>
      <c r="O633" s="4" t="s">
        <v>1523</v>
      </c>
      <c r="P633" s="4">
        <v>62</v>
      </c>
      <c r="Q633" s="4" t="str">
        <f t="shared" si="35"/>
        <v>鸡西市</v>
      </c>
      <c r="R633" s="4">
        <f t="shared" si="33"/>
        <v>8</v>
      </c>
      <c r="S633" s="4" t="str">
        <f t="shared" si="34"/>
        <v>黑龙江省</v>
      </c>
    </row>
    <row r="634" spans="14:19">
      <c r="N634" s="4">
        <v>633</v>
      </c>
      <c r="O634" s="4" t="s">
        <v>1524</v>
      </c>
      <c r="P634" s="4">
        <v>63</v>
      </c>
      <c r="Q634" s="4" t="str">
        <f t="shared" si="35"/>
        <v>鹤岗市</v>
      </c>
      <c r="R634" s="4">
        <f t="shared" si="33"/>
        <v>8</v>
      </c>
      <c r="S634" s="4" t="str">
        <f t="shared" si="34"/>
        <v>黑龙江省</v>
      </c>
    </row>
    <row r="635" spans="14:19">
      <c r="N635" s="4">
        <v>634</v>
      </c>
      <c r="O635" s="4" t="s">
        <v>1525</v>
      </c>
      <c r="P635" s="4">
        <v>63</v>
      </c>
      <c r="Q635" s="4" t="str">
        <f t="shared" si="35"/>
        <v>鹤岗市</v>
      </c>
      <c r="R635" s="4">
        <f t="shared" si="33"/>
        <v>8</v>
      </c>
      <c r="S635" s="4" t="str">
        <f t="shared" si="34"/>
        <v>黑龙江省</v>
      </c>
    </row>
    <row r="636" spans="14:19">
      <c r="N636" s="4">
        <v>635</v>
      </c>
      <c r="O636" s="4" t="s">
        <v>1526</v>
      </c>
      <c r="P636" s="4">
        <v>63</v>
      </c>
      <c r="Q636" s="4" t="str">
        <f t="shared" si="35"/>
        <v>鹤岗市</v>
      </c>
      <c r="R636" s="4">
        <f t="shared" si="33"/>
        <v>8</v>
      </c>
      <c r="S636" s="4" t="str">
        <f t="shared" si="34"/>
        <v>黑龙江省</v>
      </c>
    </row>
    <row r="637" spans="14:19">
      <c r="N637" s="4">
        <v>636</v>
      </c>
      <c r="O637" s="4" t="s">
        <v>1527</v>
      </c>
      <c r="P637" s="4">
        <v>63</v>
      </c>
      <c r="Q637" s="4" t="str">
        <f t="shared" si="35"/>
        <v>鹤岗市</v>
      </c>
      <c r="R637" s="4">
        <f t="shared" si="33"/>
        <v>8</v>
      </c>
      <c r="S637" s="4" t="str">
        <f t="shared" si="34"/>
        <v>黑龙江省</v>
      </c>
    </row>
    <row r="638" spans="14:19">
      <c r="N638" s="4">
        <v>637</v>
      </c>
      <c r="O638" s="4" t="s">
        <v>1528</v>
      </c>
      <c r="P638" s="4">
        <v>63</v>
      </c>
      <c r="Q638" s="4" t="str">
        <f t="shared" si="35"/>
        <v>鹤岗市</v>
      </c>
      <c r="R638" s="4">
        <f t="shared" si="33"/>
        <v>8</v>
      </c>
      <c r="S638" s="4" t="str">
        <f t="shared" si="34"/>
        <v>黑龙江省</v>
      </c>
    </row>
    <row r="639" spans="14:19">
      <c r="N639" s="4">
        <v>638</v>
      </c>
      <c r="O639" s="4" t="s">
        <v>1529</v>
      </c>
      <c r="P639" s="4">
        <v>63</v>
      </c>
      <c r="Q639" s="4" t="str">
        <f t="shared" si="35"/>
        <v>鹤岗市</v>
      </c>
      <c r="R639" s="4">
        <f t="shared" si="33"/>
        <v>8</v>
      </c>
      <c r="S639" s="4" t="str">
        <f t="shared" si="34"/>
        <v>黑龙江省</v>
      </c>
    </row>
    <row r="640" spans="14:19">
      <c r="N640" s="4">
        <v>639</v>
      </c>
      <c r="O640" s="4" t="s">
        <v>1530</v>
      </c>
      <c r="P640" s="4">
        <v>63</v>
      </c>
      <c r="Q640" s="4" t="str">
        <f t="shared" si="35"/>
        <v>鹤岗市</v>
      </c>
      <c r="R640" s="4">
        <f t="shared" si="33"/>
        <v>8</v>
      </c>
      <c r="S640" s="4" t="str">
        <f t="shared" si="34"/>
        <v>黑龙江省</v>
      </c>
    </row>
    <row r="641" spans="14:19">
      <c r="N641" s="4">
        <v>640</v>
      </c>
      <c r="O641" s="4" t="s">
        <v>1531</v>
      </c>
      <c r="P641" s="4">
        <v>63</v>
      </c>
      <c r="Q641" s="4" t="str">
        <f t="shared" si="35"/>
        <v>鹤岗市</v>
      </c>
      <c r="R641" s="4">
        <f t="shared" si="33"/>
        <v>8</v>
      </c>
      <c r="S641" s="4" t="str">
        <f t="shared" si="34"/>
        <v>黑龙江省</v>
      </c>
    </row>
    <row r="642" spans="14:19">
      <c r="N642" s="4">
        <v>641</v>
      </c>
      <c r="O642" s="4" t="s">
        <v>1532</v>
      </c>
      <c r="P642" s="4">
        <v>64</v>
      </c>
      <c r="Q642" s="4" t="str">
        <f t="shared" si="35"/>
        <v>双鸭山市</v>
      </c>
      <c r="R642" s="4">
        <f t="shared" ref="R642:R705" si="36">VLOOKUP(P642,$I$2:$M$346,3,FALSE)</f>
        <v>8</v>
      </c>
      <c r="S642" s="4" t="str">
        <f t="shared" ref="S642:S705" si="37">VLOOKUP(P642,$I$2:$M$346,4,FALSE)</f>
        <v>黑龙江省</v>
      </c>
    </row>
    <row r="643" spans="14:19">
      <c r="N643" s="4">
        <v>642</v>
      </c>
      <c r="O643" s="4" t="s">
        <v>1533</v>
      </c>
      <c r="P643" s="4">
        <v>64</v>
      </c>
      <c r="Q643" s="4" t="str">
        <f t="shared" ref="Q643:Q706" si="38">VLOOKUP(P643,$I$2:$J$346,2,FALSE)</f>
        <v>双鸭山市</v>
      </c>
      <c r="R643" s="4">
        <f t="shared" si="36"/>
        <v>8</v>
      </c>
      <c r="S643" s="4" t="str">
        <f t="shared" si="37"/>
        <v>黑龙江省</v>
      </c>
    </row>
    <row r="644" spans="14:19">
      <c r="N644" s="4">
        <v>643</v>
      </c>
      <c r="O644" s="4" t="s">
        <v>1534</v>
      </c>
      <c r="P644" s="4">
        <v>64</v>
      </c>
      <c r="Q644" s="4" t="str">
        <f t="shared" si="38"/>
        <v>双鸭山市</v>
      </c>
      <c r="R644" s="4">
        <f t="shared" si="36"/>
        <v>8</v>
      </c>
      <c r="S644" s="4" t="str">
        <f t="shared" si="37"/>
        <v>黑龙江省</v>
      </c>
    </row>
    <row r="645" spans="14:19">
      <c r="N645" s="4">
        <v>644</v>
      </c>
      <c r="O645" s="4" t="s">
        <v>1535</v>
      </c>
      <c r="P645" s="4">
        <v>64</v>
      </c>
      <c r="Q645" s="4" t="str">
        <f t="shared" si="38"/>
        <v>双鸭山市</v>
      </c>
      <c r="R645" s="4">
        <f t="shared" si="36"/>
        <v>8</v>
      </c>
      <c r="S645" s="4" t="str">
        <f t="shared" si="37"/>
        <v>黑龙江省</v>
      </c>
    </row>
    <row r="646" spans="14:19">
      <c r="N646" s="4">
        <v>645</v>
      </c>
      <c r="O646" s="4" t="s">
        <v>1536</v>
      </c>
      <c r="P646" s="4">
        <v>64</v>
      </c>
      <c r="Q646" s="4" t="str">
        <f t="shared" si="38"/>
        <v>双鸭山市</v>
      </c>
      <c r="R646" s="4">
        <f t="shared" si="36"/>
        <v>8</v>
      </c>
      <c r="S646" s="4" t="str">
        <f t="shared" si="37"/>
        <v>黑龙江省</v>
      </c>
    </row>
    <row r="647" spans="14:19">
      <c r="N647" s="4">
        <v>646</v>
      </c>
      <c r="O647" s="4" t="s">
        <v>1537</v>
      </c>
      <c r="P647" s="4">
        <v>64</v>
      </c>
      <c r="Q647" s="4" t="str">
        <f t="shared" si="38"/>
        <v>双鸭山市</v>
      </c>
      <c r="R647" s="4">
        <f t="shared" si="36"/>
        <v>8</v>
      </c>
      <c r="S647" s="4" t="str">
        <f t="shared" si="37"/>
        <v>黑龙江省</v>
      </c>
    </row>
    <row r="648" spans="14:19">
      <c r="N648" s="4">
        <v>647</v>
      </c>
      <c r="O648" s="4" t="s">
        <v>1538</v>
      </c>
      <c r="P648" s="4">
        <v>64</v>
      </c>
      <c r="Q648" s="4" t="str">
        <f t="shared" si="38"/>
        <v>双鸭山市</v>
      </c>
      <c r="R648" s="4">
        <f t="shared" si="36"/>
        <v>8</v>
      </c>
      <c r="S648" s="4" t="str">
        <f t="shared" si="37"/>
        <v>黑龙江省</v>
      </c>
    </row>
    <row r="649" spans="14:19">
      <c r="N649" s="4">
        <v>648</v>
      </c>
      <c r="O649" s="4" t="s">
        <v>1539</v>
      </c>
      <c r="P649" s="4">
        <v>64</v>
      </c>
      <c r="Q649" s="4" t="str">
        <f t="shared" si="38"/>
        <v>双鸭山市</v>
      </c>
      <c r="R649" s="4">
        <f t="shared" si="36"/>
        <v>8</v>
      </c>
      <c r="S649" s="4" t="str">
        <f t="shared" si="37"/>
        <v>黑龙江省</v>
      </c>
    </row>
    <row r="650" spans="14:19">
      <c r="N650" s="4">
        <v>649</v>
      </c>
      <c r="O650" s="4" t="s">
        <v>1540</v>
      </c>
      <c r="P650" s="4">
        <v>65</v>
      </c>
      <c r="Q650" s="4" t="str">
        <f t="shared" si="38"/>
        <v>大庆市</v>
      </c>
      <c r="R650" s="4">
        <f t="shared" si="36"/>
        <v>8</v>
      </c>
      <c r="S650" s="4" t="str">
        <f t="shared" si="37"/>
        <v>黑龙江省</v>
      </c>
    </row>
    <row r="651" spans="14:19">
      <c r="N651" s="4">
        <v>650</v>
      </c>
      <c r="O651" s="4" t="s">
        <v>1541</v>
      </c>
      <c r="P651" s="4">
        <v>65</v>
      </c>
      <c r="Q651" s="4" t="str">
        <f t="shared" si="38"/>
        <v>大庆市</v>
      </c>
      <c r="R651" s="4">
        <f t="shared" si="36"/>
        <v>8</v>
      </c>
      <c r="S651" s="4" t="str">
        <f t="shared" si="37"/>
        <v>黑龙江省</v>
      </c>
    </row>
    <row r="652" spans="14:19">
      <c r="N652" s="4">
        <v>651</v>
      </c>
      <c r="O652" s="4" t="s">
        <v>1542</v>
      </c>
      <c r="P652" s="4">
        <v>65</v>
      </c>
      <c r="Q652" s="4" t="str">
        <f t="shared" si="38"/>
        <v>大庆市</v>
      </c>
      <c r="R652" s="4">
        <f t="shared" si="36"/>
        <v>8</v>
      </c>
      <c r="S652" s="4" t="str">
        <f t="shared" si="37"/>
        <v>黑龙江省</v>
      </c>
    </row>
    <row r="653" spans="14:19">
      <c r="N653" s="4">
        <v>652</v>
      </c>
      <c r="O653" s="4" t="s">
        <v>1543</v>
      </c>
      <c r="P653" s="4">
        <v>65</v>
      </c>
      <c r="Q653" s="4" t="str">
        <f t="shared" si="38"/>
        <v>大庆市</v>
      </c>
      <c r="R653" s="4">
        <f t="shared" si="36"/>
        <v>8</v>
      </c>
      <c r="S653" s="4" t="str">
        <f t="shared" si="37"/>
        <v>黑龙江省</v>
      </c>
    </row>
    <row r="654" spans="14:19">
      <c r="N654" s="4">
        <v>653</v>
      </c>
      <c r="O654" s="4" t="s">
        <v>1544</v>
      </c>
      <c r="P654" s="4">
        <v>65</v>
      </c>
      <c r="Q654" s="4" t="str">
        <f t="shared" si="38"/>
        <v>大庆市</v>
      </c>
      <c r="R654" s="4">
        <f t="shared" si="36"/>
        <v>8</v>
      </c>
      <c r="S654" s="4" t="str">
        <f t="shared" si="37"/>
        <v>黑龙江省</v>
      </c>
    </row>
    <row r="655" spans="14:19">
      <c r="N655" s="4">
        <v>654</v>
      </c>
      <c r="O655" s="4" t="s">
        <v>1545</v>
      </c>
      <c r="P655" s="4">
        <v>65</v>
      </c>
      <c r="Q655" s="4" t="str">
        <f t="shared" si="38"/>
        <v>大庆市</v>
      </c>
      <c r="R655" s="4">
        <f t="shared" si="36"/>
        <v>8</v>
      </c>
      <c r="S655" s="4" t="str">
        <f t="shared" si="37"/>
        <v>黑龙江省</v>
      </c>
    </row>
    <row r="656" spans="14:19">
      <c r="N656" s="4">
        <v>655</v>
      </c>
      <c r="O656" s="4" t="s">
        <v>1546</v>
      </c>
      <c r="P656" s="4">
        <v>65</v>
      </c>
      <c r="Q656" s="4" t="str">
        <f t="shared" si="38"/>
        <v>大庆市</v>
      </c>
      <c r="R656" s="4">
        <f t="shared" si="36"/>
        <v>8</v>
      </c>
      <c r="S656" s="4" t="str">
        <f t="shared" si="37"/>
        <v>黑龙江省</v>
      </c>
    </row>
    <row r="657" spans="14:19">
      <c r="N657" s="4">
        <v>656</v>
      </c>
      <c r="O657" s="4" t="s">
        <v>1547</v>
      </c>
      <c r="P657" s="4">
        <v>65</v>
      </c>
      <c r="Q657" s="4" t="str">
        <f t="shared" si="38"/>
        <v>大庆市</v>
      </c>
      <c r="R657" s="4">
        <f t="shared" si="36"/>
        <v>8</v>
      </c>
      <c r="S657" s="4" t="str">
        <f t="shared" si="37"/>
        <v>黑龙江省</v>
      </c>
    </row>
    <row r="658" spans="14:19">
      <c r="N658" s="4">
        <v>657</v>
      </c>
      <c r="O658" s="4" t="s">
        <v>1548</v>
      </c>
      <c r="P658" s="4">
        <v>65</v>
      </c>
      <c r="Q658" s="4" t="str">
        <f t="shared" si="38"/>
        <v>大庆市</v>
      </c>
      <c r="R658" s="4">
        <f t="shared" si="36"/>
        <v>8</v>
      </c>
      <c r="S658" s="4" t="str">
        <f t="shared" si="37"/>
        <v>黑龙江省</v>
      </c>
    </row>
    <row r="659" spans="14:19">
      <c r="N659" s="4">
        <v>658</v>
      </c>
      <c r="O659" s="4" t="s">
        <v>1549</v>
      </c>
      <c r="P659" s="4">
        <v>66</v>
      </c>
      <c r="Q659" s="4" t="str">
        <f t="shared" si="38"/>
        <v>伊春市</v>
      </c>
      <c r="R659" s="4">
        <f t="shared" si="36"/>
        <v>8</v>
      </c>
      <c r="S659" s="4" t="str">
        <f t="shared" si="37"/>
        <v>黑龙江省</v>
      </c>
    </row>
    <row r="660" spans="14:19">
      <c r="N660" s="4">
        <v>659</v>
      </c>
      <c r="O660" s="4" t="s">
        <v>1550</v>
      </c>
      <c r="P660" s="4">
        <v>66</v>
      </c>
      <c r="Q660" s="4" t="str">
        <f t="shared" si="38"/>
        <v>伊春市</v>
      </c>
      <c r="R660" s="4">
        <f t="shared" si="36"/>
        <v>8</v>
      </c>
      <c r="S660" s="4" t="str">
        <f t="shared" si="37"/>
        <v>黑龙江省</v>
      </c>
    </row>
    <row r="661" spans="14:19">
      <c r="N661" s="4">
        <v>660</v>
      </c>
      <c r="O661" s="4" t="s">
        <v>1551</v>
      </c>
      <c r="P661" s="4">
        <v>66</v>
      </c>
      <c r="Q661" s="4" t="str">
        <f t="shared" si="38"/>
        <v>伊春市</v>
      </c>
      <c r="R661" s="4">
        <f t="shared" si="36"/>
        <v>8</v>
      </c>
      <c r="S661" s="4" t="str">
        <f t="shared" si="37"/>
        <v>黑龙江省</v>
      </c>
    </row>
    <row r="662" spans="14:19">
      <c r="N662" s="4">
        <v>661</v>
      </c>
      <c r="O662" s="4" t="s">
        <v>1552</v>
      </c>
      <c r="P662" s="4">
        <v>66</v>
      </c>
      <c r="Q662" s="4" t="str">
        <f t="shared" si="38"/>
        <v>伊春市</v>
      </c>
      <c r="R662" s="4">
        <f t="shared" si="36"/>
        <v>8</v>
      </c>
      <c r="S662" s="4" t="str">
        <f t="shared" si="37"/>
        <v>黑龙江省</v>
      </c>
    </row>
    <row r="663" spans="14:19">
      <c r="N663" s="4">
        <v>662</v>
      </c>
      <c r="O663" s="4" t="s">
        <v>1553</v>
      </c>
      <c r="P663" s="4">
        <v>66</v>
      </c>
      <c r="Q663" s="4" t="str">
        <f t="shared" si="38"/>
        <v>伊春市</v>
      </c>
      <c r="R663" s="4">
        <f t="shared" si="36"/>
        <v>8</v>
      </c>
      <c r="S663" s="4" t="str">
        <f t="shared" si="37"/>
        <v>黑龙江省</v>
      </c>
    </row>
    <row r="664" spans="14:19">
      <c r="N664" s="4">
        <v>663</v>
      </c>
      <c r="O664" s="4" t="s">
        <v>1554</v>
      </c>
      <c r="P664" s="4">
        <v>66</v>
      </c>
      <c r="Q664" s="4" t="str">
        <f t="shared" si="38"/>
        <v>伊春市</v>
      </c>
      <c r="R664" s="4">
        <f t="shared" si="36"/>
        <v>8</v>
      </c>
      <c r="S664" s="4" t="str">
        <f t="shared" si="37"/>
        <v>黑龙江省</v>
      </c>
    </row>
    <row r="665" spans="14:19">
      <c r="N665" s="4">
        <v>664</v>
      </c>
      <c r="O665" s="4" t="s">
        <v>1555</v>
      </c>
      <c r="P665" s="4">
        <v>66</v>
      </c>
      <c r="Q665" s="4" t="str">
        <f t="shared" si="38"/>
        <v>伊春市</v>
      </c>
      <c r="R665" s="4">
        <f t="shared" si="36"/>
        <v>8</v>
      </c>
      <c r="S665" s="4" t="str">
        <f t="shared" si="37"/>
        <v>黑龙江省</v>
      </c>
    </row>
    <row r="666" spans="14:19">
      <c r="N666" s="4">
        <v>665</v>
      </c>
      <c r="O666" s="4" t="s">
        <v>1556</v>
      </c>
      <c r="P666" s="4">
        <v>66</v>
      </c>
      <c r="Q666" s="4" t="str">
        <f t="shared" si="38"/>
        <v>伊春市</v>
      </c>
      <c r="R666" s="4">
        <f t="shared" si="36"/>
        <v>8</v>
      </c>
      <c r="S666" s="4" t="str">
        <f t="shared" si="37"/>
        <v>黑龙江省</v>
      </c>
    </row>
    <row r="667" spans="14:19">
      <c r="N667" s="4">
        <v>666</v>
      </c>
      <c r="O667" s="4" t="s">
        <v>1557</v>
      </c>
      <c r="P667" s="4">
        <v>66</v>
      </c>
      <c r="Q667" s="4" t="str">
        <f t="shared" si="38"/>
        <v>伊春市</v>
      </c>
      <c r="R667" s="4">
        <f t="shared" si="36"/>
        <v>8</v>
      </c>
      <c r="S667" s="4" t="str">
        <f t="shared" si="37"/>
        <v>黑龙江省</v>
      </c>
    </row>
    <row r="668" spans="14:19">
      <c r="N668" s="4">
        <v>667</v>
      </c>
      <c r="O668" s="4" t="s">
        <v>1558</v>
      </c>
      <c r="P668" s="4">
        <v>66</v>
      </c>
      <c r="Q668" s="4" t="str">
        <f t="shared" si="38"/>
        <v>伊春市</v>
      </c>
      <c r="R668" s="4">
        <f t="shared" si="36"/>
        <v>8</v>
      </c>
      <c r="S668" s="4" t="str">
        <f t="shared" si="37"/>
        <v>黑龙江省</v>
      </c>
    </row>
    <row r="669" spans="14:19">
      <c r="N669" s="4">
        <v>668</v>
      </c>
      <c r="O669" s="4" t="s">
        <v>1559</v>
      </c>
      <c r="P669" s="4">
        <v>66</v>
      </c>
      <c r="Q669" s="4" t="str">
        <f t="shared" si="38"/>
        <v>伊春市</v>
      </c>
      <c r="R669" s="4">
        <f t="shared" si="36"/>
        <v>8</v>
      </c>
      <c r="S669" s="4" t="str">
        <f t="shared" si="37"/>
        <v>黑龙江省</v>
      </c>
    </row>
    <row r="670" spans="14:19">
      <c r="N670" s="4">
        <v>669</v>
      </c>
      <c r="O670" s="4" t="s">
        <v>1560</v>
      </c>
      <c r="P670" s="4">
        <v>66</v>
      </c>
      <c r="Q670" s="4" t="str">
        <f t="shared" si="38"/>
        <v>伊春市</v>
      </c>
      <c r="R670" s="4">
        <f t="shared" si="36"/>
        <v>8</v>
      </c>
      <c r="S670" s="4" t="str">
        <f t="shared" si="37"/>
        <v>黑龙江省</v>
      </c>
    </row>
    <row r="671" spans="14:19">
      <c r="N671" s="4">
        <v>670</v>
      </c>
      <c r="O671" s="4" t="s">
        <v>1561</v>
      </c>
      <c r="P671" s="4">
        <v>66</v>
      </c>
      <c r="Q671" s="4" t="str">
        <f t="shared" si="38"/>
        <v>伊春市</v>
      </c>
      <c r="R671" s="4">
        <f t="shared" si="36"/>
        <v>8</v>
      </c>
      <c r="S671" s="4" t="str">
        <f t="shared" si="37"/>
        <v>黑龙江省</v>
      </c>
    </row>
    <row r="672" spans="14:19">
      <c r="N672" s="4">
        <v>671</v>
      </c>
      <c r="O672" s="4" t="s">
        <v>1562</v>
      </c>
      <c r="P672" s="4">
        <v>66</v>
      </c>
      <c r="Q672" s="4" t="str">
        <f t="shared" si="38"/>
        <v>伊春市</v>
      </c>
      <c r="R672" s="4">
        <f t="shared" si="36"/>
        <v>8</v>
      </c>
      <c r="S672" s="4" t="str">
        <f t="shared" si="37"/>
        <v>黑龙江省</v>
      </c>
    </row>
    <row r="673" spans="14:19">
      <c r="N673" s="4">
        <v>672</v>
      </c>
      <c r="O673" s="4" t="s">
        <v>1563</v>
      </c>
      <c r="P673" s="4">
        <v>66</v>
      </c>
      <c r="Q673" s="4" t="str">
        <f t="shared" si="38"/>
        <v>伊春市</v>
      </c>
      <c r="R673" s="4">
        <f t="shared" si="36"/>
        <v>8</v>
      </c>
      <c r="S673" s="4" t="str">
        <f t="shared" si="37"/>
        <v>黑龙江省</v>
      </c>
    </row>
    <row r="674" spans="14:19">
      <c r="N674" s="4">
        <v>673</v>
      </c>
      <c r="O674" s="4" t="s">
        <v>1564</v>
      </c>
      <c r="P674" s="4">
        <v>66</v>
      </c>
      <c r="Q674" s="4" t="str">
        <f t="shared" si="38"/>
        <v>伊春市</v>
      </c>
      <c r="R674" s="4">
        <f t="shared" si="36"/>
        <v>8</v>
      </c>
      <c r="S674" s="4" t="str">
        <f t="shared" si="37"/>
        <v>黑龙江省</v>
      </c>
    </row>
    <row r="675" spans="14:19">
      <c r="N675" s="4">
        <v>674</v>
      </c>
      <c r="O675" s="4" t="s">
        <v>1565</v>
      </c>
      <c r="P675" s="4">
        <v>66</v>
      </c>
      <c r="Q675" s="4" t="str">
        <f t="shared" si="38"/>
        <v>伊春市</v>
      </c>
      <c r="R675" s="4">
        <f t="shared" si="36"/>
        <v>8</v>
      </c>
      <c r="S675" s="4" t="str">
        <f t="shared" si="37"/>
        <v>黑龙江省</v>
      </c>
    </row>
    <row r="676" spans="14:19">
      <c r="N676" s="4">
        <v>675</v>
      </c>
      <c r="O676" s="4" t="s">
        <v>1566</v>
      </c>
      <c r="P676" s="4">
        <v>67</v>
      </c>
      <c r="Q676" s="4" t="str">
        <f t="shared" si="38"/>
        <v>佳木斯市</v>
      </c>
      <c r="R676" s="4">
        <f t="shared" si="36"/>
        <v>8</v>
      </c>
      <c r="S676" s="4" t="str">
        <f t="shared" si="37"/>
        <v>黑龙江省</v>
      </c>
    </row>
    <row r="677" spans="14:19">
      <c r="N677" s="4">
        <v>676</v>
      </c>
      <c r="O677" s="4" t="s">
        <v>1524</v>
      </c>
      <c r="P677" s="4">
        <v>67</v>
      </c>
      <c r="Q677" s="4" t="str">
        <f t="shared" si="38"/>
        <v>佳木斯市</v>
      </c>
      <c r="R677" s="4">
        <f t="shared" si="36"/>
        <v>8</v>
      </c>
      <c r="S677" s="4" t="str">
        <f t="shared" si="37"/>
        <v>黑龙江省</v>
      </c>
    </row>
    <row r="678" spans="14:19">
      <c r="N678" s="4">
        <v>677</v>
      </c>
      <c r="O678" s="4" t="s">
        <v>1567</v>
      </c>
      <c r="P678" s="4">
        <v>67</v>
      </c>
      <c r="Q678" s="4" t="str">
        <f t="shared" si="38"/>
        <v>佳木斯市</v>
      </c>
      <c r="R678" s="4">
        <f t="shared" si="36"/>
        <v>8</v>
      </c>
      <c r="S678" s="4" t="str">
        <f t="shared" si="37"/>
        <v>黑龙江省</v>
      </c>
    </row>
    <row r="679" spans="14:19">
      <c r="N679" s="4">
        <v>678</v>
      </c>
      <c r="O679" s="4" t="s">
        <v>1568</v>
      </c>
      <c r="P679" s="4">
        <v>67</v>
      </c>
      <c r="Q679" s="4" t="str">
        <f t="shared" si="38"/>
        <v>佳木斯市</v>
      </c>
      <c r="R679" s="4">
        <f t="shared" si="36"/>
        <v>8</v>
      </c>
      <c r="S679" s="4" t="str">
        <f t="shared" si="37"/>
        <v>黑龙江省</v>
      </c>
    </row>
    <row r="680" spans="14:19">
      <c r="N680" s="4">
        <v>679</v>
      </c>
      <c r="O680" s="4" t="s">
        <v>914</v>
      </c>
      <c r="P680" s="4">
        <v>67</v>
      </c>
      <c r="Q680" s="4" t="str">
        <f t="shared" si="38"/>
        <v>佳木斯市</v>
      </c>
      <c r="R680" s="4">
        <f t="shared" si="36"/>
        <v>8</v>
      </c>
      <c r="S680" s="4" t="str">
        <f t="shared" si="37"/>
        <v>黑龙江省</v>
      </c>
    </row>
    <row r="681" spans="14:19">
      <c r="N681" s="4">
        <v>680</v>
      </c>
      <c r="O681" s="4" t="s">
        <v>1569</v>
      </c>
      <c r="P681" s="4">
        <v>67</v>
      </c>
      <c r="Q681" s="4" t="str">
        <f t="shared" si="38"/>
        <v>佳木斯市</v>
      </c>
      <c r="R681" s="4">
        <f t="shared" si="36"/>
        <v>8</v>
      </c>
      <c r="S681" s="4" t="str">
        <f t="shared" si="37"/>
        <v>黑龙江省</v>
      </c>
    </row>
    <row r="682" spans="14:19">
      <c r="N682" s="4">
        <v>681</v>
      </c>
      <c r="O682" s="4" t="s">
        <v>1570</v>
      </c>
      <c r="P682" s="4">
        <v>67</v>
      </c>
      <c r="Q682" s="4" t="str">
        <f t="shared" si="38"/>
        <v>佳木斯市</v>
      </c>
      <c r="R682" s="4">
        <f t="shared" si="36"/>
        <v>8</v>
      </c>
      <c r="S682" s="4" t="str">
        <f t="shared" si="37"/>
        <v>黑龙江省</v>
      </c>
    </row>
    <row r="683" spans="14:19">
      <c r="N683" s="4">
        <v>682</v>
      </c>
      <c r="O683" s="4" t="s">
        <v>1571</v>
      </c>
      <c r="P683" s="4">
        <v>67</v>
      </c>
      <c r="Q683" s="4" t="str">
        <f t="shared" si="38"/>
        <v>佳木斯市</v>
      </c>
      <c r="R683" s="4">
        <f t="shared" si="36"/>
        <v>8</v>
      </c>
      <c r="S683" s="4" t="str">
        <f t="shared" si="37"/>
        <v>黑龙江省</v>
      </c>
    </row>
    <row r="684" spans="14:19">
      <c r="N684" s="4">
        <v>683</v>
      </c>
      <c r="O684" s="4" t="s">
        <v>1572</v>
      </c>
      <c r="P684" s="4">
        <v>67</v>
      </c>
      <c r="Q684" s="4" t="str">
        <f t="shared" si="38"/>
        <v>佳木斯市</v>
      </c>
      <c r="R684" s="4">
        <f t="shared" si="36"/>
        <v>8</v>
      </c>
      <c r="S684" s="4" t="str">
        <f t="shared" si="37"/>
        <v>黑龙江省</v>
      </c>
    </row>
    <row r="685" spans="14:19">
      <c r="N685" s="4">
        <v>684</v>
      </c>
      <c r="O685" s="4" t="s">
        <v>1573</v>
      </c>
      <c r="P685" s="4">
        <v>67</v>
      </c>
      <c r="Q685" s="4" t="str">
        <f t="shared" si="38"/>
        <v>佳木斯市</v>
      </c>
      <c r="R685" s="4">
        <f t="shared" si="36"/>
        <v>8</v>
      </c>
      <c r="S685" s="4" t="str">
        <f t="shared" si="37"/>
        <v>黑龙江省</v>
      </c>
    </row>
    <row r="686" spans="14:19">
      <c r="N686" s="4">
        <v>685</v>
      </c>
      <c r="O686" s="4" t="s">
        <v>1574</v>
      </c>
      <c r="P686" s="4">
        <v>67</v>
      </c>
      <c r="Q686" s="4" t="str">
        <f t="shared" si="38"/>
        <v>佳木斯市</v>
      </c>
      <c r="R686" s="4">
        <f t="shared" si="36"/>
        <v>8</v>
      </c>
      <c r="S686" s="4" t="str">
        <f t="shared" si="37"/>
        <v>黑龙江省</v>
      </c>
    </row>
    <row r="687" spans="14:19">
      <c r="N687" s="4">
        <v>686</v>
      </c>
      <c r="O687" s="4" t="s">
        <v>1575</v>
      </c>
      <c r="P687" s="4">
        <v>68</v>
      </c>
      <c r="Q687" s="4" t="str">
        <f t="shared" si="38"/>
        <v>七台河市</v>
      </c>
      <c r="R687" s="4">
        <f t="shared" si="36"/>
        <v>8</v>
      </c>
      <c r="S687" s="4" t="str">
        <f t="shared" si="37"/>
        <v>黑龙江省</v>
      </c>
    </row>
    <row r="688" spans="14:19">
      <c r="N688" s="4">
        <v>687</v>
      </c>
      <c r="O688" s="4" t="s">
        <v>1576</v>
      </c>
      <c r="P688" s="4">
        <v>68</v>
      </c>
      <c r="Q688" s="4" t="str">
        <f t="shared" si="38"/>
        <v>七台河市</v>
      </c>
      <c r="R688" s="4">
        <f t="shared" si="36"/>
        <v>8</v>
      </c>
      <c r="S688" s="4" t="str">
        <f t="shared" si="37"/>
        <v>黑龙江省</v>
      </c>
    </row>
    <row r="689" spans="14:19">
      <c r="N689" s="4">
        <v>688</v>
      </c>
      <c r="O689" s="4" t="s">
        <v>1577</v>
      </c>
      <c r="P689" s="4">
        <v>68</v>
      </c>
      <c r="Q689" s="4" t="str">
        <f t="shared" si="38"/>
        <v>七台河市</v>
      </c>
      <c r="R689" s="4">
        <f t="shared" si="36"/>
        <v>8</v>
      </c>
      <c r="S689" s="4" t="str">
        <f t="shared" si="37"/>
        <v>黑龙江省</v>
      </c>
    </row>
    <row r="690" spans="14:19">
      <c r="N690" s="4">
        <v>689</v>
      </c>
      <c r="O690" s="4" t="s">
        <v>1578</v>
      </c>
      <c r="P690" s="4">
        <v>68</v>
      </c>
      <c r="Q690" s="4" t="str">
        <f t="shared" si="38"/>
        <v>七台河市</v>
      </c>
      <c r="R690" s="4">
        <f t="shared" si="36"/>
        <v>8</v>
      </c>
      <c r="S690" s="4" t="str">
        <f t="shared" si="37"/>
        <v>黑龙江省</v>
      </c>
    </row>
    <row r="691" spans="14:19">
      <c r="N691" s="4">
        <v>690</v>
      </c>
      <c r="O691" s="4" t="s">
        <v>1579</v>
      </c>
      <c r="P691" s="4">
        <v>69</v>
      </c>
      <c r="Q691" s="4" t="str">
        <f t="shared" si="38"/>
        <v>牡丹江市</v>
      </c>
      <c r="R691" s="4">
        <f t="shared" si="36"/>
        <v>8</v>
      </c>
      <c r="S691" s="4" t="str">
        <f t="shared" si="37"/>
        <v>黑龙江省</v>
      </c>
    </row>
    <row r="692" spans="14:19">
      <c r="N692" s="4">
        <v>691</v>
      </c>
      <c r="O692" s="4" t="s">
        <v>1580</v>
      </c>
      <c r="P692" s="4">
        <v>69</v>
      </c>
      <c r="Q692" s="4" t="str">
        <f t="shared" si="38"/>
        <v>牡丹江市</v>
      </c>
      <c r="R692" s="4">
        <f t="shared" si="36"/>
        <v>8</v>
      </c>
      <c r="S692" s="4" t="str">
        <f t="shared" si="37"/>
        <v>黑龙江省</v>
      </c>
    </row>
    <row r="693" spans="14:19">
      <c r="N693" s="4">
        <v>692</v>
      </c>
      <c r="O693" s="4" t="s">
        <v>1581</v>
      </c>
      <c r="P693" s="4">
        <v>69</v>
      </c>
      <c r="Q693" s="4" t="str">
        <f t="shared" si="38"/>
        <v>牡丹江市</v>
      </c>
      <c r="R693" s="4">
        <f t="shared" si="36"/>
        <v>8</v>
      </c>
      <c r="S693" s="4" t="str">
        <f t="shared" si="37"/>
        <v>黑龙江省</v>
      </c>
    </row>
    <row r="694" spans="14:19">
      <c r="N694" s="4">
        <v>693</v>
      </c>
      <c r="O694" s="4" t="s">
        <v>1446</v>
      </c>
      <c r="P694" s="4">
        <v>69</v>
      </c>
      <c r="Q694" s="4" t="str">
        <f t="shared" si="38"/>
        <v>牡丹江市</v>
      </c>
      <c r="R694" s="4">
        <f t="shared" si="36"/>
        <v>8</v>
      </c>
      <c r="S694" s="4" t="str">
        <f t="shared" si="37"/>
        <v>黑龙江省</v>
      </c>
    </row>
    <row r="695" spans="14:19">
      <c r="N695" s="4">
        <v>694</v>
      </c>
      <c r="O695" s="4" t="s">
        <v>1582</v>
      </c>
      <c r="P695" s="4">
        <v>69</v>
      </c>
      <c r="Q695" s="4" t="str">
        <f t="shared" si="38"/>
        <v>牡丹江市</v>
      </c>
      <c r="R695" s="4">
        <f t="shared" si="36"/>
        <v>8</v>
      </c>
      <c r="S695" s="4" t="str">
        <f t="shared" si="37"/>
        <v>黑龙江省</v>
      </c>
    </row>
    <row r="696" spans="14:19">
      <c r="N696" s="4">
        <v>695</v>
      </c>
      <c r="O696" s="4" t="s">
        <v>1583</v>
      </c>
      <c r="P696" s="4">
        <v>69</v>
      </c>
      <c r="Q696" s="4" t="str">
        <f t="shared" si="38"/>
        <v>牡丹江市</v>
      </c>
      <c r="R696" s="4">
        <f t="shared" si="36"/>
        <v>8</v>
      </c>
      <c r="S696" s="4" t="str">
        <f t="shared" si="37"/>
        <v>黑龙江省</v>
      </c>
    </row>
    <row r="697" spans="14:19">
      <c r="N697" s="4">
        <v>696</v>
      </c>
      <c r="O697" s="4" t="s">
        <v>1584</v>
      </c>
      <c r="P697" s="4">
        <v>69</v>
      </c>
      <c r="Q697" s="4" t="str">
        <f t="shared" si="38"/>
        <v>牡丹江市</v>
      </c>
      <c r="R697" s="4">
        <f t="shared" si="36"/>
        <v>8</v>
      </c>
      <c r="S697" s="4" t="str">
        <f t="shared" si="37"/>
        <v>黑龙江省</v>
      </c>
    </row>
    <row r="698" spans="14:19">
      <c r="N698" s="4">
        <v>697</v>
      </c>
      <c r="O698" s="4" t="s">
        <v>1585</v>
      </c>
      <c r="P698" s="4">
        <v>69</v>
      </c>
      <c r="Q698" s="4" t="str">
        <f t="shared" si="38"/>
        <v>牡丹江市</v>
      </c>
      <c r="R698" s="4">
        <f t="shared" si="36"/>
        <v>8</v>
      </c>
      <c r="S698" s="4" t="str">
        <f t="shared" si="37"/>
        <v>黑龙江省</v>
      </c>
    </row>
    <row r="699" spans="14:19">
      <c r="N699" s="4">
        <v>698</v>
      </c>
      <c r="O699" s="4" t="s">
        <v>1586</v>
      </c>
      <c r="P699" s="4">
        <v>69</v>
      </c>
      <c r="Q699" s="4" t="str">
        <f t="shared" si="38"/>
        <v>牡丹江市</v>
      </c>
      <c r="R699" s="4">
        <f t="shared" si="36"/>
        <v>8</v>
      </c>
      <c r="S699" s="4" t="str">
        <f t="shared" si="37"/>
        <v>黑龙江省</v>
      </c>
    </row>
    <row r="700" spans="14:19">
      <c r="N700" s="4">
        <v>699</v>
      </c>
      <c r="O700" s="4" t="s">
        <v>1587</v>
      </c>
      <c r="P700" s="4">
        <v>69</v>
      </c>
      <c r="Q700" s="4" t="str">
        <f t="shared" si="38"/>
        <v>牡丹江市</v>
      </c>
      <c r="R700" s="4">
        <f t="shared" si="36"/>
        <v>8</v>
      </c>
      <c r="S700" s="4" t="str">
        <f t="shared" si="37"/>
        <v>黑龙江省</v>
      </c>
    </row>
    <row r="701" spans="14:19">
      <c r="N701" s="4">
        <v>700</v>
      </c>
      <c r="O701" s="4" t="s">
        <v>1588</v>
      </c>
      <c r="P701" s="4">
        <v>70</v>
      </c>
      <c r="Q701" s="4" t="str">
        <f t="shared" si="38"/>
        <v>黑河市</v>
      </c>
      <c r="R701" s="4">
        <f t="shared" si="36"/>
        <v>8</v>
      </c>
      <c r="S701" s="4" t="str">
        <f t="shared" si="37"/>
        <v>黑龙江省</v>
      </c>
    </row>
    <row r="702" spans="14:19">
      <c r="N702" s="4">
        <v>701</v>
      </c>
      <c r="O702" s="4" t="s">
        <v>1589</v>
      </c>
      <c r="P702" s="4">
        <v>70</v>
      </c>
      <c r="Q702" s="4" t="str">
        <f t="shared" si="38"/>
        <v>黑河市</v>
      </c>
      <c r="R702" s="4">
        <f t="shared" si="36"/>
        <v>8</v>
      </c>
      <c r="S702" s="4" t="str">
        <f t="shared" si="37"/>
        <v>黑龙江省</v>
      </c>
    </row>
    <row r="703" spans="14:19">
      <c r="N703" s="4">
        <v>702</v>
      </c>
      <c r="O703" s="4" t="s">
        <v>1590</v>
      </c>
      <c r="P703" s="4">
        <v>70</v>
      </c>
      <c r="Q703" s="4" t="str">
        <f t="shared" si="38"/>
        <v>黑河市</v>
      </c>
      <c r="R703" s="4">
        <f t="shared" si="36"/>
        <v>8</v>
      </c>
      <c r="S703" s="4" t="str">
        <f t="shared" si="37"/>
        <v>黑龙江省</v>
      </c>
    </row>
    <row r="704" spans="14:19">
      <c r="N704" s="4">
        <v>703</v>
      </c>
      <c r="O704" s="4" t="s">
        <v>1591</v>
      </c>
      <c r="P704" s="4">
        <v>70</v>
      </c>
      <c r="Q704" s="4" t="str">
        <f t="shared" si="38"/>
        <v>黑河市</v>
      </c>
      <c r="R704" s="4">
        <f t="shared" si="36"/>
        <v>8</v>
      </c>
      <c r="S704" s="4" t="str">
        <f t="shared" si="37"/>
        <v>黑龙江省</v>
      </c>
    </row>
    <row r="705" spans="14:19">
      <c r="N705" s="4">
        <v>704</v>
      </c>
      <c r="O705" s="4" t="s">
        <v>1592</v>
      </c>
      <c r="P705" s="4">
        <v>70</v>
      </c>
      <c r="Q705" s="4" t="str">
        <f t="shared" si="38"/>
        <v>黑河市</v>
      </c>
      <c r="R705" s="4">
        <f t="shared" si="36"/>
        <v>8</v>
      </c>
      <c r="S705" s="4" t="str">
        <f t="shared" si="37"/>
        <v>黑龙江省</v>
      </c>
    </row>
    <row r="706" spans="14:19">
      <c r="N706" s="4">
        <v>705</v>
      </c>
      <c r="O706" s="4" t="s">
        <v>1593</v>
      </c>
      <c r="P706" s="4">
        <v>70</v>
      </c>
      <c r="Q706" s="4" t="str">
        <f t="shared" si="38"/>
        <v>黑河市</v>
      </c>
      <c r="R706" s="4">
        <f t="shared" ref="R706:R769" si="39">VLOOKUP(P706,$I$2:$M$346,3,FALSE)</f>
        <v>8</v>
      </c>
      <c r="S706" s="4" t="str">
        <f t="shared" ref="S706:S769" si="40">VLOOKUP(P706,$I$2:$M$346,4,FALSE)</f>
        <v>黑龙江省</v>
      </c>
    </row>
    <row r="707" spans="14:19">
      <c r="N707" s="4">
        <v>706</v>
      </c>
      <c r="O707" s="4" t="s">
        <v>1594</v>
      </c>
      <c r="P707" s="4">
        <v>71</v>
      </c>
      <c r="Q707" s="4" t="str">
        <f t="shared" ref="Q707:Q770" si="41">VLOOKUP(P707,$I$2:$J$346,2,FALSE)</f>
        <v>绥化市</v>
      </c>
      <c r="R707" s="4">
        <f t="shared" si="39"/>
        <v>8</v>
      </c>
      <c r="S707" s="4" t="str">
        <f t="shared" si="40"/>
        <v>黑龙江省</v>
      </c>
    </row>
    <row r="708" spans="14:19">
      <c r="N708" s="4">
        <v>707</v>
      </c>
      <c r="O708" s="4" t="s">
        <v>1595</v>
      </c>
      <c r="P708" s="4">
        <v>71</v>
      </c>
      <c r="Q708" s="4" t="str">
        <f t="shared" si="41"/>
        <v>绥化市</v>
      </c>
      <c r="R708" s="4">
        <f t="shared" si="39"/>
        <v>8</v>
      </c>
      <c r="S708" s="4" t="str">
        <f t="shared" si="40"/>
        <v>黑龙江省</v>
      </c>
    </row>
    <row r="709" spans="14:19">
      <c r="N709" s="4">
        <v>708</v>
      </c>
      <c r="O709" s="4" t="s">
        <v>1596</v>
      </c>
      <c r="P709" s="4">
        <v>71</v>
      </c>
      <c r="Q709" s="4" t="str">
        <f t="shared" si="41"/>
        <v>绥化市</v>
      </c>
      <c r="R709" s="4">
        <f t="shared" si="39"/>
        <v>8</v>
      </c>
      <c r="S709" s="4" t="str">
        <f t="shared" si="40"/>
        <v>黑龙江省</v>
      </c>
    </row>
    <row r="710" spans="14:19">
      <c r="N710" s="4">
        <v>709</v>
      </c>
      <c r="O710" s="4" t="s">
        <v>1597</v>
      </c>
      <c r="P710" s="4">
        <v>71</v>
      </c>
      <c r="Q710" s="4" t="str">
        <f t="shared" si="41"/>
        <v>绥化市</v>
      </c>
      <c r="R710" s="4">
        <f t="shared" si="39"/>
        <v>8</v>
      </c>
      <c r="S710" s="4" t="str">
        <f t="shared" si="40"/>
        <v>黑龙江省</v>
      </c>
    </row>
    <row r="711" spans="14:19">
      <c r="N711" s="4">
        <v>710</v>
      </c>
      <c r="O711" s="4" t="s">
        <v>1598</v>
      </c>
      <c r="P711" s="4">
        <v>71</v>
      </c>
      <c r="Q711" s="4" t="str">
        <f t="shared" si="41"/>
        <v>绥化市</v>
      </c>
      <c r="R711" s="4">
        <f t="shared" si="39"/>
        <v>8</v>
      </c>
      <c r="S711" s="4" t="str">
        <f t="shared" si="40"/>
        <v>黑龙江省</v>
      </c>
    </row>
    <row r="712" spans="14:19">
      <c r="N712" s="4">
        <v>711</v>
      </c>
      <c r="O712" s="4" t="s">
        <v>1599</v>
      </c>
      <c r="P712" s="4">
        <v>71</v>
      </c>
      <c r="Q712" s="4" t="str">
        <f t="shared" si="41"/>
        <v>绥化市</v>
      </c>
      <c r="R712" s="4">
        <f t="shared" si="39"/>
        <v>8</v>
      </c>
      <c r="S712" s="4" t="str">
        <f t="shared" si="40"/>
        <v>黑龙江省</v>
      </c>
    </row>
    <row r="713" spans="14:19">
      <c r="N713" s="4">
        <v>712</v>
      </c>
      <c r="O713" s="4" t="s">
        <v>1600</v>
      </c>
      <c r="P713" s="4">
        <v>71</v>
      </c>
      <c r="Q713" s="4" t="str">
        <f t="shared" si="41"/>
        <v>绥化市</v>
      </c>
      <c r="R713" s="4">
        <f t="shared" si="39"/>
        <v>8</v>
      </c>
      <c r="S713" s="4" t="str">
        <f t="shared" si="40"/>
        <v>黑龙江省</v>
      </c>
    </row>
    <row r="714" spans="14:19">
      <c r="N714" s="4">
        <v>713</v>
      </c>
      <c r="O714" s="4" t="s">
        <v>1601</v>
      </c>
      <c r="P714" s="4">
        <v>71</v>
      </c>
      <c r="Q714" s="4" t="str">
        <f t="shared" si="41"/>
        <v>绥化市</v>
      </c>
      <c r="R714" s="4">
        <f t="shared" si="39"/>
        <v>8</v>
      </c>
      <c r="S714" s="4" t="str">
        <f t="shared" si="40"/>
        <v>黑龙江省</v>
      </c>
    </row>
    <row r="715" spans="14:19">
      <c r="N715" s="4">
        <v>714</v>
      </c>
      <c r="O715" s="4" t="s">
        <v>1602</v>
      </c>
      <c r="P715" s="4">
        <v>71</v>
      </c>
      <c r="Q715" s="4" t="str">
        <f t="shared" si="41"/>
        <v>绥化市</v>
      </c>
      <c r="R715" s="4">
        <f t="shared" si="39"/>
        <v>8</v>
      </c>
      <c r="S715" s="4" t="str">
        <f t="shared" si="40"/>
        <v>黑龙江省</v>
      </c>
    </row>
    <row r="716" spans="14:19">
      <c r="N716" s="4">
        <v>715</v>
      </c>
      <c r="O716" s="4" t="s">
        <v>1603</v>
      </c>
      <c r="P716" s="4">
        <v>71</v>
      </c>
      <c r="Q716" s="4" t="str">
        <f t="shared" si="41"/>
        <v>绥化市</v>
      </c>
      <c r="R716" s="4">
        <f t="shared" si="39"/>
        <v>8</v>
      </c>
      <c r="S716" s="4" t="str">
        <f t="shared" si="40"/>
        <v>黑龙江省</v>
      </c>
    </row>
    <row r="717" spans="14:19">
      <c r="N717" s="4">
        <v>716</v>
      </c>
      <c r="O717" s="4" t="s">
        <v>1604</v>
      </c>
      <c r="P717" s="4">
        <v>72</v>
      </c>
      <c r="Q717" s="4" t="str">
        <f t="shared" si="41"/>
        <v>大兴安岭地区</v>
      </c>
      <c r="R717" s="4">
        <f t="shared" si="39"/>
        <v>8</v>
      </c>
      <c r="S717" s="4" t="str">
        <f t="shared" si="40"/>
        <v>黑龙江省</v>
      </c>
    </row>
    <row r="718" spans="14:19">
      <c r="N718" s="4">
        <v>717</v>
      </c>
      <c r="O718" s="4" t="s">
        <v>1605</v>
      </c>
      <c r="P718" s="4">
        <v>72</v>
      </c>
      <c r="Q718" s="4" t="str">
        <f t="shared" si="41"/>
        <v>大兴安岭地区</v>
      </c>
      <c r="R718" s="4">
        <f t="shared" si="39"/>
        <v>8</v>
      </c>
      <c r="S718" s="4" t="str">
        <f t="shared" si="40"/>
        <v>黑龙江省</v>
      </c>
    </row>
    <row r="719" spans="14:19">
      <c r="N719" s="4">
        <v>718</v>
      </c>
      <c r="O719" s="4" t="s">
        <v>1606</v>
      </c>
      <c r="P719" s="4">
        <v>72</v>
      </c>
      <c r="Q719" s="4" t="str">
        <f t="shared" si="41"/>
        <v>大兴安岭地区</v>
      </c>
      <c r="R719" s="4">
        <f t="shared" si="39"/>
        <v>8</v>
      </c>
      <c r="S719" s="4" t="str">
        <f t="shared" si="40"/>
        <v>黑龙江省</v>
      </c>
    </row>
    <row r="720" spans="14:19">
      <c r="N720" s="4">
        <v>719</v>
      </c>
      <c r="O720" s="4" t="s">
        <v>1607</v>
      </c>
      <c r="P720" s="4">
        <v>73</v>
      </c>
      <c r="Q720" s="4" t="str">
        <f t="shared" si="41"/>
        <v>上海市</v>
      </c>
      <c r="R720" s="4">
        <f t="shared" si="39"/>
        <v>9</v>
      </c>
      <c r="S720" s="4" t="str">
        <f t="shared" si="40"/>
        <v>上海市</v>
      </c>
    </row>
    <row r="721" spans="14:19">
      <c r="N721" s="4">
        <v>720</v>
      </c>
      <c r="O721" s="4" t="s">
        <v>1608</v>
      </c>
      <c r="P721" s="4">
        <v>73</v>
      </c>
      <c r="Q721" s="4" t="str">
        <f t="shared" si="41"/>
        <v>上海市</v>
      </c>
      <c r="R721" s="4">
        <f t="shared" si="39"/>
        <v>9</v>
      </c>
      <c r="S721" s="4" t="str">
        <f t="shared" si="40"/>
        <v>上海市</v>
      </c>
    </row>
    <row r="722" spans="14:19">
      <c r="N722" s="4">
        <v>721</v>
      </c>
      <c r="O722" s="4" t="s">
        <v>1609</v>
      </c>
      <c r="P722" s="4">
        <v>73</v>
      </c>
      <c r="Q722" s="4" t="str">
        <f t="shared" si="41"/>
        <v>上海市</v>
      </c>
      <c r="R722" s="4">
        <f t="shared" si="39"/>
        <v>9</v>
      </c>
      <c r="S722" s="4" t="str">
        <f t="shared" si="40"/>
        <v>上海市</v>
      </c>
    </row>
    <row r="723" spans="14:19">
      <c r="N723" s="4">
        <v>722</v>
      </c>
      <c r="O723" s="4" t="s">
        <v>1610</v>
      </c>
      <c r="P723" s="4">
        <v>73</v>
      </c>
      <c r="Q723" s="4" t="str">
        <f t="shared" si="41"/>
        <v>上海市</v>
      </c>
      <c r="R723" s="4">
        <f t="shared" si="39"/>
        <v>9</v>
      </c>
      <c r="S723" s="4" t="str">
        <f t="shared" si="40"/>
        <v>上海市</v>
      </c>
    </row>
    <row r="724" spans="14:19">
      <c r="N724" s="4">
        <v>723</v>
      </c>
      <c r="O724" s="4" t="s">
        <v>1611</v>
      </c>
      <c r="P724" s="4">
        <v>73</v>
      </c>
      <c r="Q724" s="4" t="str">
        <f t="shared" si="41"/>
        <v>上海市</v>
      </c>
      <c r="R724" s="4">
        <f t="shared" si="39"/>
        <v>9</v>
      </c>
      <c r="S724" s="4" t="str">
        <f t="shared" si="40"/>
        <v>上海市</v>
      </c>
    </row>
    <row r="725" spans="14:19">
      <c r="N725" s="4">
        <v>724</v>
      </c>
      <c r="O725" s="4" t="s">
        <v>1612</v>
      </c>
      <c r="P725" s="4">
        <v>73</v>
      </c>
      <c r="Q725" s="4" t="str">
        <f t="shared" si="41"/>
        <v>上海市</v>
      </c>
      <c r="R725" s="4">
        <f t="shared" si="39"/>
        <v>9</v>
      </c>
      <c r="S725" s="4" t="str">
        <f t="shared" si="40"/>
        <v>上海市</v>
      </c>
    </row>
    <row r="726" spans="14:19">
      <c r="N726" s="4">
        <v>725</v>
      </c>
      <c r="O726" s="4" t="s">
        <v>1613</v>
      </c>
      <c r="P726" s="4">
        <v>73</v>
      </c>
      <c r="Q726" s="4" t="str">
        <f t="shared" si="41"/>
        <v>上海市</v>
      </c>
      <c r="R726" s="4">
        <f t="shared" si="39"/>
        <v>9</v>
      </c>
      <c r="S726" s="4" t="str">
        <f t="shared" si="40"/>
        <v>上海市</v>
      </c>
    </row>
    <row r="727" spans="14:19">
      <c r="N727" s="4">
        <v>726</v>
      </c>
      <c r="O727" s="4" t="s">
        <v>1614</v>
      </c>
      <c r="P727" s="4">
        <v>73</v>
      </c>
      <c r="Q727" s="4" t="str">
        <f t="shared" si="41"/>
        <v>上海市</v>
      </c>
      <c r="R727" s="4">
        <f t="shared" si="39"/>
        <v>9</v>
      </c>
      <c r="S727" s="4" t="str">
        <f t="shared" si="40"/>
        <v>上海市</v>
      </c>
    </row>
    <row r="728" spans="14:19">
      <c r="N728" s="4">
        <v>727</v>
      </c>
      <c r="O728" s="4" t="s">
        <v>1615</v>
      </c>
      <c r="P728" s="4">
        <v>73</v>
      </c>
      <c r="Q728" s="4" t="str">
        <f t="shared" si="41"/>
        <v>上海市</v>
      </c>
      <c r="R728" s="4">
        <f t="shared" si="39"/>
        <v>9</v>
      </c>
      <c r="S728" s="4" t="str">
        <f t="shared" si="40"/>
        <v>上海市</v>
      </c>
    </row>
    <row r="729" spans="14:19">
      <c r="N729" s="4">
        <v>728</v>
      </c>
      <c r="O729" s="4" t="s">
        <v>1616</v>
      </c>
      <c r="P729" s="4">
        <v>73</v>
      </c>
      <c r="Q729" s="4" t="str">
        <f t="shared" si="41"/>
        <v>上海市</v>
      </c>
      <c r="R729" s="4">
        <f t="shared" si="39"/>
        <v>9</v>
      </c>
      <c r="S729" s="4" t="str">
        <f t="shared" si="40"/>
        <v>上海市</v>
      </c>
    </row>
    <row r="730" spans="14:19">
      <c r="N730" s="4">
        <v>729</v>
      </c>
      <c r="O730" s="4" t="s">
        <v>1535</v>
      </c>
      <c r="P730" s="4">
        <v>73</v>
      </c>
      <c r="Q730" s="4" t="str">
        <f t="shared" si="41"/>
        <v>上海市</v>
      </c>
      <c r="R730" s="4">
        <f t="shared" si="39"/>
        <v>9</v>
      </c>
      <c r="S730" s="4" t="str">
        <f t="shared" si="40"/>
        <v>上海市</v>
      </c>
    </row>
    <row r="731" spans="14:19">
      <c r="N731" s="4">
        <v>730</v>
      </c>
      <c r="O731" s="4" t="s">
        <v>1617</v>
      </c>
      <c r="P731" s="4">
        <v>73</v>
      </c>
      <c r="Q731" s="4" t="str">
        <f t="shared" si="41"/>
        <v>上海市</v>
      </c>
      <c r="R731" s="4">
        <f t="shared" si="39"/>
        <v>9</v>
      </c>
      <c r="S731" s="4" t="str">
        <f t="shared" si="40"/>
        <v>上海市</v>
      </c>
    </row>
    <row r="732" spans="14:19">
      <c r="N732" s="4">
        <v>731</v>
      </c>
      <c r="O732" s="4" t="s">
        <v>1618</v>
      </c>
      <c r="P732" s="4">
        <v>73</v>
      </c>
      <c r="Q732" s="4" t="str">
        <f t="shared" si="41"/>
        <v>上海市</v>
      </c>
      <c r="R732" s="4">
        <f t="shared" si="39"/>
        <v>9</v>
      </c>
      <c r="S732" s="4" t="str">
        <f t="shared" si="40"/>
        <v>上海市</v>
      </c>
    </row>
    <row r="733" spans="14:19">
      <c r="N733" s="4">
        <v>732</v>
      </c>
      <c r="O733" s="4" t="s">
        <v>1619</v>
      </c>
      <c r="P733" s="4">
        <v>73</v>
      </c>
      <c r="Q733" s="4" t="str">
        <f t="shared" si="41"/>
        <v>上海市</v>
      </c>
      <c r="R733" s="4">
        <f t="shared" si="39"/>
        <v>9</v>
      </c>
      <c r="S733" s="4" t="str">
        <f t="shared" si="40"/>
        <v>上海市</v>
      </c>
    </row>
    <row r="734" spans="14:19">
      <c r="N734" s="4">
        <v>733</v>
      </c>
      <c r="O734" s="4" t="s">
        <v>1620</v>
      </c>
      <c r="P734" s="4">
        <v>73</v>
      </c>
      <c r="Q734" s="4" t="str">
        <f t="shared" si="41"/>
        <v>上海市</v>
      </c>
      <c r="R734" s="4">
        <f t="shared" si="39"/>
        <v>9</v>
      </c>
      <c r="S734" s="4" t="str">
        <f t="shared" si="40"/>
        <v>上海市</v>
      </c>
    </row>
    <row r="735" spans="14:19">
      <c r="N735" s="4">
        <v>734</v>
      </c>
      <c r="O735" s="4" t="s">
        <v>1621</v>
      </c>
      <c r="P735" s="4">
        <v>73</v>
      </c>
      <c r="Q735" s="4" t="str">
        <f t="shared" si="41"/>
        <v>上海市</v>
      </c>
      <c r="R735" s="4">
        <f t="shared" si="39"/>
        <v>9</v>
      </c>
      <c r="S735" s="4" t="str">
        <f t="shared" si="40"/>
        <v>上海市</v>
      </c>
    </row>
    <row r="736" spans="14:19">
      <c r="N736" s="4">
        <v>735</v>
      </c>
      <c r="O736" s="4" t="s">
        <v>1622</v>
      </c>
      <c r="P736" s="4">
        <v>73</v>
      </c>
      <c r="Q736" s="4" t="str">
        <f t="shared" si="41"/>
        <v>上海市</v>
      </c>
      <c r="R736" s="4">
        <f t="shared" si="39"/>
        <v>9</v>
      </c>
      <c r="S736" s="4" t="str">
        <f t="shared" si="40"/>
        <v>上海市</v>
      </c>
    </row>
    <row r="737" spans="14:19">
      <c r="N737" s="4">
        <v>736</v>
      </c>
      <c r="O737" s="4" t="s">
        <v>1623</v>
      </c>
      <c r="P737" s="4">
        <v>73</v>
      </c>
      <c r="Q737" s="4" t="str">
        <f t="shared" si="41"/>
        <v>上海市</v>
      </c>
      <c r="R737" s="4">
        <f t="shared" si="39"/>
        <v>9</v>
      </c>
      <c r="S737" s="4" t="str">
        <f t="shared" si="40"/>
        <v>上海市</v>
      </c>
    </row>
    <row r="738" spans="14:19">
      <c r="N738" s="4">
        <v>737</v>
      </c>
      <c r="O738" s="4" t="s">
        <v>1624</v>
      </c>
      <c r="P738" s="4">
        <v>73</v>
      </c>
      <c r="Q738" s="4" t="str">
        <f t="shared" si="41"/>
        <v>上海市</v>
      </c>
      <c r="R738" s="4">
        <f t="shared" si="39"/>
        <v>9</v>
      </c>
      <c r="S738" s="4" t="str">
        <f t="shared" si="40"/>
        <v>上海市</v>
      </c>
    </row>
    <row r="739" spans="14:19">
      <c r="N739" s="4">
        <v>738</v>
      </c>
      <c r="O739" s="4" t="s">
        <v>1625</v>
      </c>
      <c r="P739" s="4">
        <v>74</v>
      </c>
      <c r="Q739" s="4" t="str">
        <f t="shared" si="41"/>
        <v>南京市</v>
      </c>
      <c r="R739" s="4">
        <f t="shared" si="39"/>
        <v>10</v>
      </c>
      <c r="S739" s="4" t="str">
        <f t="shared" si="40"/>
        <v>江苏省</v>
      </c>
    </row>
    <row r="740" spans="14:19">
      <c r="N740" s="4">
        <v>739</v>
      </c>
      <c r="O740" s="4" t="s">
        <v>1626</v>
      </c>
      <c r="P740" s="4">
        <v>74</v>
      </c>
      <c r="Q740" s="4" t="str">
        <f t="shared" si="41"/>
        <v>南京市</v>
      </c>
      <c r="R740" s="4">
        <f t="shared" si="39"/>
        <v>10</v>
      </c>
      <c r="S740" s="4" t="str">
        <f t="shared" si="40"/>
        <v>江苏省</v>
      </c>
    </row>
    <row r="741" spans="14:19">
      <c r="N741" s="4">
        <v>740</v>
      </c>
      <c r="O741" s="4" t="s">
        <v>1627</v>
      </c>
      <c r="P741" s="4">
        <v>74</v>
      </c>
      <c r="Q741" s="4" t="str">
        <f t="shared" si="41"/>
        <v>南京市</v>
      </c>
      <c r="R741" s="4">
        <f t="shared" si="39"/>
        <v>10</v>
      </c>
      <c r="S741" s="4" t="str">
        <f t="shared" si="40"/>
        <v>江苏省</v>
      </c>
    </row>
    <row r="742" spans="14:19">
      <c r="N742" s="4">
        <v>741</v>
      </c>
      <c r="O742" s="4" t="s">
        <v>1628</v>
      </c>
      <c r="P742" s="4">
        <v>74</v>
      </c>
      <c r="Q742" s="4" t="str">
        <f t="shared" si="41"/>
        <v>南京市</v>
      </c>
      <c r="R742" s="4">
        <f t="shared" si="39"/>
        <v>10</v>
      </c>
      <c r="S742" s="4" t="str">
        <f t="shared" si="40"/>
        <v>江苏省</v>
      </c>
    </row>
    <row r="743" spans="14:19">
      <c r="N743" s="4">
        <v>742</v>
      </c>
      <c r="O743" s="4" t="s">
        <v>1629</v>
      </c>
      <c r="P743" s="4">
        <v>74</v>
      </c>
      <c r="Q743" s="4" t="str">
        <f t="shared" si="41"/>
        <v>南京市</v>
      </c>
      <c r="R743" s="4">
        <f t="shared" si="39"/>
        <v>10</v>
      </c>
      <c r="S743" s="4" t="str">
        <f t="shared" si="40"/>
        <v>江苏省</v>
      </c>
    </row>
    <row r="744" spans="14:19">
      <c r="N744" s="4">
        <v>743</v>
      </c>
      <c r="O744" s="4" t="s">
        <v>1630</v>
      </c>
      <c r="P744" s="4">
        <v>74</v>
      </c>
      <c r="Q744" s="4" t="str">
        <f t="shared" si="41"/>
        <v>南京市</v>
      </c>
      <c r="R744" s="4">
        <f t="shared" si="39"/>
        <v>10</v>
      </c>
      <c r="S744" s="4" t="str">
        <f t="shared" si="40"/>
        <v>江苏省</v>
      </c>
    </row>
    <row r="745" spans="14:19">
      <c r="N745" s="4">
        <v>744</v>
      </c>
      <c r="O745" s="4" t="s">
        <v>1631</v>
      </c>
      <c r="P745" s="4">
        <v>74</v>
      </c>
      <c r="Q745" s="4" t="str">
        <f t="shared" si="41"/>
        <v>南京市</v>
      </c>
      <c r="R745" s="4">
        <f t="shared" si="39"/>
        <v>10</v>
      </c>
      <c r="S745" s="4" t="str">
        <f t="shared" si="40"/>
        <v>江苏省</v>
      </c>
    </row>
    <row r="746" spans="14:19">
      <c r="N746" s="4">
        <v>745</v>
      </c>
      <c r="O746" s="4" t="s">
        <v>1632</v>
      </c>
      <c r="P746" s="4">
        <v>74</v>
      </c>
      <c r="Q746" s="4" t="str">
        <f t="shared" si="41"/>
        <v>南京市</v>
      </c>
      <c r="R746" s="4">
        <f t="shared" si="39"/>
        <v>10</v>
      </c>
      <c r="S746" s="4" t="str">
        <f t="shared" si="40"/>
        <v>江苏省</v>
      </c>
    </row>
    <row r="747" spans="14:19">
      <c r="N747" s="4">
        <v>746</v>
      </c>
      <c r="O747" s="4" t="s">
        <v>1633</v>
      </c>
      <c r="P747" s="4">
        <v>74</v>
      </c>
      <c r="Q747" s="4" t="str">
        <f t="shared" si="41"/>
        <v>南京市</v>
      </c>
      <c r="R747" s="4">
        <f t="shared" si="39"/>
        <v>10</v>
      </c>
      <c r="S747" s="4" t="str">
        <f t="shared" si="40"/>
        <v>江苏省</v>
      </c>
    </row>
    <row r="748" spans="14:19">
      <c r="N748" s="4">
        <v>747</v>
      </c>
      <c r="O748" s="4" t="s">
        <v>1634</v>
      </c>
      <c r="P748" s="4">
        <v>74</v>
      </c>
      <c r="Q748" s="4" t="str">
        <f t="shared" si="41"/>
        <v>南京市</v>
      </c>
      <c r="R748" s="4">
        <f t="shared" si="39"/>
        <v>10</v>
      </c>
      <c r="S748" s="4" t="str">
        <f t="shared" si="40"/>
        <v>江苏省</v>
      </c>
    </row>
    <row r="749" spans="14:19">
      <c r="N749" s="4">
        <v>748</v>
      </c>
      <c r="O749" s="4" t="s">
        <v>1635</v>
      </c>
      <c r="P749" s="4">
        <v>74</v>
      </c>
      <c r="Q749" s="4" t="str">
        <f t="shared" si="41"/>
        <v>南京市</v>
      </c>
      <c r="R749" s="4">
        <f t="shared" si="39"/>
        <v>10</v>
      </c>
      <c r="S749" s="4" t="str">
        <f t="shared" si="40"/>
        <v>江苏省</v>
      </c>
    </row>
    <row r="750" spans="14:19">
      <c r="N750" s="4">
        <v>749</v>
      </c>
      <c r="O750" s="4" t="s">
        <v>1636</v>
      </c>
      <c r="P750" s="4">
        <v>74</v>
      </c>
      <c r="Q750" s="4" t="str">
        <f t="shared" si="41"/>
        <v>南京市</v>
      </c>
      <c r="R750" s="4">
        <f t="shared" si="39"/>
        <v>10</v>
      </c>
      <c r="S750" s="4" t="str">
        <f t="shared" si="40"/>
        <v>江苏省</v>
      </c>
    </row>
    <row r="751" spans="14:19">
      <c r="N751" s="4">
        <v>750</v>
      </c>
      <c r="O751" s="4" t="s">
        <v>1637</v>
      </c>
      <c r="P751" s="4">
        <v>74</v>
      </c>
      <c r="Q751" s="4" t="str">
        <f t="shared" si="41"/>
        <v>南京市</v>
      </c>
      <c r="R751" s="4">
        <f t="shared" si="39"/>
        <v>10</v>
      </c>
      <c r="S751" s="4" t="str">
        <f t="shared" si="40"/>
        <v>江苏省</v>
      </c>
    </row>
    <row r="752" spans="14:19">
      <c r="N752" s="4">
        <v>751</v>
      </c>
      <c r="O752" s="4" t="s">
        <v>1638</v>
      </c>
      <c r="P752" s="4">
        <v>75</v>
      </c>
      <c r="Q752" s="4" t="str">
        <f t="shared" si="41"/>
        <v>无锡市</v>
      </c>
      <c r="R752" s="4">
        <f t="shared" si="39"/>
        <v>10</v>
      </c>
      <c r="S752" s="4" t="str">
        <f t="shared" si="40"/>
        <v>江苏省</v>
      </c>
    </row>
    <row r="753" spans="14:19">
      <c r="N753" s="4">
        <v>752</v>
      </c>
      <c r="O753" s="4" t="s">
        <v>1639</v>
      </c>
      <c r="P753" s="4">
        <v>75</v>
      </c>
      <c r="Q753" s="4" t="str">
        <f t="shared" si="41"/>
        <v>无锡市</v>
      </c>
      <c r="R753" s="4">
        <f t="shared" si="39"/>
        <v>10</v>
      </c>
      <c r="S753" s="4" t="str">
        <f t="shared" si="40"/>
        <v>江苏省</v>
      </c>
    </row>
    <row r="754" spans="14:19">
      <c r="N754" s="4">
        <v>753</v>
      </c>
      <c r="O754" s="4" t="s">
        <v>1640</v>
      </c>
      <c r="P754" s="4">
        <v>75</v>
      </c>
      <c r="Q754" s="4" t="str">
        <f t="shared" si="41"/>
        <v>无锡市</v>
      </c>
      <c r="R754" s="4">
        <f t="shared" si="39"/>
        <v>10</v>
      </c>
      <c r="S754" s="4" t="str">
        <f t="shared" si="40"/>
        <v>江苏省</v>
      </c>
    </row>
    <row r="755" spans="14:19">
      <c r="N755" s="4">
        <v>754</v>
      </c>
      <c r="O755" s="4" t="s">
        <v>1641</v>
      </c>
      <c r="P755" s="4">
        <v>75</v>
      </c>
      <c r="Q755" s="4" t="str">
        <f t="shared" si="41"/>
        <v>无锡市</v>
      </c>
      <c r="R755" s="4">
        <f t="shared" si="39"/>
        <v>10</v>
      </c>
      <c r="S755" s="4" t="str">
        <f t="shared" si="40"/>
        <v>江苏省</v>
      </c>
    </row>
    <row r="756" spans="14:19">
      <c r="N756" s="4">
        <v>755</v>
      </c>
      <c r="O756" s="4" t="s">
        <v>1642</v>
      </c>
      <c r="P756" s="4">
        <v>75</v>
      </c>
      <c r="Q756" s="4" t="str">
        <f t="shared" si="41"/>
        <v>无锡市</v>
      </c>
      <c r="R756" s="4">
        <f t="shared" si="39"/>
        <v>10</v>
      </c>
      <c r="S756" s="4" t="str">
        <f t="shared" si="40"/>
        <v>江苏省</v>
      </c>
    </row>
    <row r="757" spans="14:19">
      <c r="N757" s="4">
        <v>756</v>
      </c>
      <c r="O757" s="4" t="s">
        <v>1643</v>
      </c>
      <c r="P757" s="4">
        <v>75</v>
      </c>
      <c r="Q757" s="4" t="str">
        <f t="shared" si="41"/>
        <v>无锡市</v>
      </c>
      <c r="R757" s="4">
        <f t="shared" si="39"/>
        <v>10</v>
      </c>
      <c r="S757" s="4" t="str">
        <f t="shared" si="40"/>
        <v>江苏省</v>
      </c>
    </row>
    <row r="758" spans="14:19">
      <c r="N758" s="4">
        <v>757</v>
      </c>
      <c r="O758" s="4" t="s">
        <v>1644</v>
      </c>
      <c r="P758" s="4">
        <v>75</v>
      </c>
      <c r="Q758" s="4" t="str">
        <f t="shared" si="41"/>
        <v>无锡市</v>
      </c>
      <c r="R758" s="4">
        <f t="shared" si="39"/>
        <v>10</v>
      </c>
      <c r="S758" s="4" t="str">
        <f t="shared" si="40"/>
        <v>江苏省</v>
      </c>
    </row>
    <row r="759" spans="14:19">
      <c r="N759" s="4">
        <v>758</v>
      </c>
      <c r="O759" s="4" t="s">
        <v>1645</v>
      </c>
      <c r="P759" s="4">
        <v>75</v>
      </c>
      <c r="Q759" s="4" t="str">
        <f t="shared" si="41"/>
        <v>无锡市</v>
      </c>
      <c r="R759" s="4">
        <f t="shared" si="39"/>
        <v>10</v>
      </c>
      <c r="S759" s="4" t="str">
        <f t="shared" si="40"/>
        <v>江苏省</v>
      </c>
    </row>
    <row r="760" spans="14:19">
      <c r="N760" s="4">
        <v>759</v>
      </c>
      <c r="O760" s="4" t="s">
        <v>1629</v>
      </c>
      <c r="P760" s="4">
        <v>76</v>
      </c>
      <c r="Q760" s="4" t="str">
        <f t="shared" si="41"/>
        <v>徐州市</v>
      </c>
      <c r="R760" s="4">
        <f t="shared" si="39"/>
        <v>10</v>
      </c>
      <c r="S760" s="4" t="str">
        <f t="shared" si="40"/>
        <v>江苏省</v>
      </c>
    </row>
    <row r="761" spans="14:19">
      <c r="N761" s="4">
        <v>760</v>
      </c>
      <c r="O761" s="4" t="s">
        <v>1646</v>
      </c>
      <c r="P761" s="4">
        <v>76</v>
      </c>
      <c r="Q761" s="4" t="str">
        <f t="shared" si="41"/>
        <v>徐州市</v>
      </c>
      <c r="R761" s="4">
        <f t="shared" si="39"/>
        <v>10</v>
      </c>
      <c r="S761" s="4" t="str">
        <f t="shared" si="40"/>
        <v>江苏省</v>
      </c>
    </row>
    <row r="762" spans="14:19">
      <c r="N762" s="4">
        <v>761</v>
      </c>
      <c r="O762" s="4" t="s">
        <v>1647</v>
      </c>
      <c r="P762" s="4">
        <v>76</v>
      </c>
      <c r="Q762" s="4" t="str">
        <f t="shared" si="41"/>
        <v>徐州市</v>
      </c>
      <c r="R762" s="4">
        <f t="shared" si="39"/>
        <v>10</v>
      </c>
      <c r="S762" s="4" t="str">
        <f t="shared" si="40"/>
        <v>江苏省</v>
      </c>
    </row>
    <row r="763" spans="14:19">
      <c r="N763" s="4">
        <v>762</v>
      </c>
      <c r="O763" s="4" t="s">
        <v>1648</v>
      </c>
      <c r="P763" s="4">
        <v>76</v>
      </c>
      <c r="Q763" s="4" t="str">
        <f t="shared" si="41"/>
        <v>徐州市</v>
      </c>
      <c r="R763" s="4">
        <f t="shared" si="39"/>
        <v>10</v>
      </c>
      <c r="S763" s="4" t="str">
        <f t="shared" si="40"/>
        <v>江苏省</v>
      </c>
    </row>
    <row r="764" spans="14:19">
      <c r="N764" s="4">
        <v>763</v>
      </c>
      <c r="O764" s="4" t="s">
        <v>1649</v>
      </c>
      <c r="P764" s="4">
        <v>76</v>
      </c>
      <c r="Q764" s="4" t="str">
        <f t="shared" si="41"/>
        <v>徐州市</v>
      </c>
      <c r="R764" s="4">
        <f t="shared" si="39"/>
        <v>10</v>
      </c>
      <c r="S764" s="4" t="str">
        <f t="shared" si="40"/>
        <v>江苏省</v>
      </c>
    </row>
    <row r="765" spans="14:19">
      <c r="N765" s="4">
        <v>764</v>
      </c>
      <c r="O765" s="4" t="s">
        <v>1650</v>
      </c>
      <c r="P765" s="4">
        <v>76</v>
      </c>
      <c r="Q765" s="4" t="str">
        <f t="shared" si="41"/>
        <v>徐州市</v>
      </c>
      <c r="R765" s="4">
        <f t="shared" si="39"/>
        <v>10</v>
      </c>
      <c r="S765" s="4" t="str">
        <f t="shared" si="40"/>
        <v>江苏省</v>
      </c>
    </row>
    <row r="766" spans="14:19">
      <c r="N766" s="4">
        <v>765</v>
      </c>
      <c r="O766" s="4" t="s">
        <v>1651</v>
      </c>
      <c r="P766" s="4">
        <v>76</v>
      </c>
      <c r="Q766" s="4" t="str">
        <f t="shared" si="41"/>
        <v>徐州市</v>
      </c>
      <c r="R766" s="4">
        <f t="shared" si="39"/>
        <v>10</v>
      </c>
      <c r="S766" s="4" t="str">
        <f t="shared" si="40"/>
        <v>江苏省</v>
      </c>
    </row>
    <row r="767" spans="14:19">
      <c r="N767" s="4">
        <v>766</v>
      </c>
      <c r="O767" s="4" t="s">
        <v>1652</v>
      </c>
      <c r="P767" s="4">
        <v>76</v>
      </c>
      <c r="Q767" s="4" t="str">
        <f t="shared" si="41"/>
        <v>徐州市</v>
      </c>
      <c r="R767" s="4">
        <f t="shared" si="39"/>
        <v>10</v>
      </c>
      <c r="S767" s="4" t="str">
        <f t="shared" si="40"/>
        <v>江苏省</v>
      </c>
    </row>
    <row r="768" spans="14:19">
      <c r="N768" s="4">
        <v>767</v>
      </c>
      <c r="O768" s="4" t="s">
        <v>1653</v>
      </c>
      <c r="P768" s="4">
        <v>76</v>
      </c>
      <c r="Q768" s="4" t="str">
        <f t="shared" si="41"/>
        <v>徐州市</v>
      </c>
      <c r="R768" s="4">
        <f t="shared" si="39"/>
        <v>10</v>
      </c>
      <c r="S768" s="4" t="str">
        <f t="shared" si="40"/>
        <v>江苏省</v>
      </c>
    </row>
    <row r="769" spans="14:19">
      <c r="N769" s="4">
        <v>768</v>
      </c>
      <c r="O769" s="4" t="s">
        <v>1654</v>
      </c>
      <c r="P769" s="4">
        <v>76</v>
      </c>
      <c r="Q769" s="4" t="str">
        <f t="shared" si="41"/>
        <v>徐州市</v>
      </c>
      <c r="R769" s="4">
        <f t="shared" si="39"/>
        <v>10</v>
      </c>
      <c r="S769" s="4" t="str">
        <f t="shared" si="40"/>
        <v>江苏省</v>
      </c>
    </row>
    <row r="770" spans="14:19">
      <c r="N770" s="4">
        <v>769</v>
      </c>
      <c r="O770" s="4" t="s">
        <v>1655</v>
      </c>
      <c r="P770" s="4">
        <v>76</v>
      </c>
      <c r="Q770" s="4" t="str">
        <f t="shared" si="41"/>
        <v>徐州市</v>
      </c>
      <c r="R770" s="4">
        <f t="shared" ref="R770:R833" si="42">VLOOKUP(P770,$I$2:$M$346,3,FALSE)</f>
        <v>10</v>
      </c>
      <c r="S770" s="4" t="str">
        <f t="shared" ref="S770:S833" si="43">VLOOKUP(P770,$I$2:$M$346,4,FALSE)</f>
        <v>江苏省</v>
      </c>
    </row>
    <row r="771" spans="14:19">
      <c r="N771" s="4">
        <v>770</v>
      </c>
      <c r="O771" s="4" t="s">
        <v>1656</v>
      </c>
      <c r="P771" s="4">
        <v>77</v>
      </c>
      <c r="Q771" s="4" t="str">
        <f t="shared" ref="Q771:Q834" si="44">VLOOKUP(P771,$I$2:$J$346,2,FALSE)</f>
        <v>常州市</v>
      </c>
      <c r="R771" s="4">
        <f t="shared" si="42"/>
        <v>10</v>
      </c>
      <c r="S771" s="4" t="str">
        <f t="shared" si="43"/>
        <v>江苏省</v>
      </c>
    </row>
    <row r="772" spans="14:19">
      <c r="N772" s="4">
        <v>771</v>
      </c>
      <c r="O772" s="4" t="s">
        <v>1657</v>
      </c>
      <c r="P772" s="4">
        <v>77</v>
      </c>
      <c r="Q772" s="4" t="str">
        <f t="shared" si="44"/>
        <v>常州市</v>
      </c>
      <c r="R772" s="4">
        <f t="shared" si="42"/>
        <v>10</v>
      </c>
      <c r="S772" s="4" t="str">
        <f t="shared" si="43"/>
        <v>江苏省</v>
      </c>
    </row>
    <row r="773" spans="14:19">
      <c r="N773" s="4">
        <v>772</v>
      </c>
      <c r="O773" s="4" t="s">
        <v>1658</v>
      </c>
      <c r="P773" s="4">
        <v>77</v>
      </c>
      <c r="Q773" s="4" t="str">
        <f t="shared" si="44"/>
        <v>常州市</v>
      </c>
      <c r="R773" s="4">
        <f t="shared" si="42"/>
        <v>10</v>
      </c>
      <c r="S773" s="4" t="str">
        <f t="shared" si="43"/>
        <v>江苏省</v>
      </c>
    </row>
    <row r="774" spans="14:19">
      <c r="N774" s="4">
        <v>773</v>
      </c>
      <c r="O774" s="4" t="s">
        <v>1659</v>
      </c>
      <c r="P774" s="4">
        <v>77</v>
      </c>
      <c r="Q774" s="4" t="str">
        <f t="shared" si="44"/>
        <v>常州市</v>
      </c>
      <c r="R774" s="4">
        <f t="shared" si="42"/>
        <v>10</v>
      </c>
      <c r="S774" s="4" t="str">
        <f t="shared" si="43"/>
        <v>江苏省</v>
      </c>
    </row>
    <row r="775" spans="14:19">
      <c r="N775" s="4">
        <v>774</v>
      </c>
      <c r="O775" s="4" t="s">
        <v>1660</v>
      </c>
      <c r="P775" s="4">
        <v>77</v>
      </c>
      <c r="Q775" s="4" t="str">
        <f t="shared" si="44"/>
        <v>常州市</v>
      </c>
      <c r="R775" s="4">
        <f t="shared" si="42"/>
        <v>10</v>
      </c>
      <c r="S775" s="4" t="str">
        <f t="shared" si="43"/>
        <v>江苏省</v>
      </c>
    </row>
    <row r="776" spans="14:19">
      <c r="N776" s="4">
        <v>775</v>
      </c>
      <c r="O776" s="4" t="s">
        <v>1661</v>
      </c>
      <c r="P776" s="4">
        <v>77</v>
      </c>
      <c r="Q776" s="4" t="str">
        <f t="shared" si="44"/>
        <v>常州市</v>
      </c>
      <c r="R776" s="4">
        <f t="shared" si="42"/>
        <v>10</v>
      </c>
      <c r="S776" s="4" t="str">
        <f t="shared" si="43"/>
        <v>江苏省</v>
      </c>
    </row>
    <row r="777" spans="14:19">
      <c r="N777" s="4">
        <v>776</v>
      </c>
      <c r="O777" s="4" t="s">
        <v>1662</v>
      </c>
      <c r="P777" s="4">
        <v>77</v>
      </c>
      <c r="Q777" s="4" t="str">
        <f t="shared" si="44"/>
        <v>常州市</v>
      </c>
      <c r="R777" s="4">
        <f t="shared" si="42"/>
        <v>10</v>
      </c>
      <c r="S777" s="4" t="str">
        <f t="shared" si="43"/>
        <v>江苏省</v>
      </c>
    </row>
    <row r="778" spans="14:19">
      <c r="N778" s="4">
        <v>777</v>
      </c>
      <c r="O778" s="4" t="s">
        <v>1663</v>
      </c>
      <c r="P778" s="4">
        <v>78</v>
      </c>
      <c r="Q778" s="4" t="str">
        <f t="shared" si="44"/>
        <v>苏州市</v>
      </c>
      <c r="R778" s="4">
        <f t="shared" si="42"/>
        <v>10</v>
      </c>
      <c r="S778" s="4" t="str">
        <f t="shared" si="43"/>
        <v>江苏省</v>
      </c>
    </row>
    <row r="779" spans="14:19">
      <c r="N779" s="4">
        <v>778</v>
      </c>
      <c r="O779" s="4" t="s">
        <v>1664</v>
      </c>
      <c r="P779" s="4">
        <v>78</v>
      </c>
      <c r="Q779" s="4" t="str">
        <f t="shared" si="44"/>
        <v>苏州市</v>
      </c>
      <c r="R779" s="4">
        <f t="shared" si="42"/>
        <v>10</v>
      </c>
      <c r="S779" s="4" t="str">
        <f t="shared" si="43"/>
        <v>江苏省</v>
      </c>
    </row>
    <row r="780" spans="14:19">
      <c r="N780" s="4">
        <v>779</v>
      </c>
      <c r="O780" s="4" t="s">
        <v>1665</v>
      </c>
      <c r="P780" s="4">
        <v>78</v>
      </c>
      <c r="Q780" s="4" t="str">
        <f t="shared" si="44"/>
        <v>苏州市</v>
      </c>
      <c r="R780" s="4">
        <f t="shared" si="42"/>
        <v>10</v>
      </c>
      <c r="S780" s="4" t="str">
        <f t="shared" si="43"/>
        <v>江苏省</v>
      </c>
    </row>
    <row r="781" spans="14:19">
      <c r="N781" s="4">
        <v>780</v>
      </c>
      <c r="O781" s="4" t="s">
        <v>1666</v>
      </c>
      <c r="P781" s="4">
        <v>78</v>
      </c>
      <c r="Q781" s="4" t="str">
        <f t="shared" si="44"/>
        <v>苏州市</v>
      </c>
      <c r="R781" s="4">
        <f t="shared" si="42"/>
        <v>10</v>
      </c>
      <c r="S781" s="4" t="str">
        <f t="shared" si="43"/>
        <v>江苏省</v>
      </c>
    </row>
    <row r="782" spans="14:19">
      <c r="N782" s="4">
        <v>781</v>
      </c>
      <c r="O782" s="4" t="s">
        <v>1667</v>
      </c>
      <c r="P782" s="4">
        <v>78</v>
      </c>
      <c r="Q782" s="4" t="str">
        <f t="shared" si="44"/>
        <v>苏州市</v>
      </c>
      <c r="R782" s="4">
        <f t="shared" si="42"/>
        <v>10</v>
      </c>
      <c r="S782" s="4" t="str">
        <f t="shared" si="43"/>
        <v>江苏省</v>
      </c>
    </row>
    <row r="783" spans="14:19">
      <c r="N783" s="4">
        <v>782</v>
      </c>
      <c r="O783" s="4" t="s">
        <v>1668</v>
      </c>
      <c r="P783" s="4">
        <v>78</v>
      </c>
      <c r="Q783" s="4" t="str">
        <f t="shared" si="44"/>
        <v>苏州市</v>
      </c>
      <c r="R783" s="4">
        <f t="shared" si="42"/>
        <v>10</v>
      </c>
      <c r="S783" s="4" t="str">
        <f t="shared" si="43"/>
        <v>江苏省</v>
      </c>
    </row>
    <row r="784" spans="14:19">
      <c r="N784" s="4">
        <v>783</v>
      </c>
      <c r="O784" s="4" t="s">
        <v>1669</v>
      </c>
      <c r="P784" s="4">
        <v>78</v>
      </c>
      <c r="Q784" s="4" t="str">
        <f t="shared" si="44"/>
        <v>苏州市</v>
      </c>
      <c r="R784" s="4">
        <f t="shared" si="42"/>
        <v>10</v>
      </c>
      <c r="S784" s="4" t="str">
        <f t="shared" si="43"/>
        <v>江苏省</v>
      </c>
    </row>
    <row r="785" spans="14:19">
      <c r="N785" s="4">
        <v>784</v>
      </c>
      <c r="O785" s="4" t="s">
        <v>1670</v>
      </c>
      <c r="P785" s="4">
        <v>78</v>
      </c>
      <c r="Q785" s="4" t="str">
        <f t="shared" si="44"/>
        <v>苏州市</v>
      </c>
      <c r="R785" s="4">
        <f t="shared" si="42"/>
        <v>10</v>
      </c>
      <c r="S785" s="4" t="str">
        <f t="shared" si="43"/>
        <v>江苏省</v>
      </c>
    </row>
    <row r="786" spans="14:19">
      <c r="N786" s="4">
        <v>785</v>
      </c>
      <c r="O786" s="4" t="s">
        <v>1671</v>
      </c>
      <c r="P786" s="4">
        <v>78</v>
      </c>
      <c r="Q786" s="4" t="str">
        <f t="shared" si="44"/>
        <v>苏州市</v>
      </c>
      <c r="R786" s="4">
        <f t="shared" si="42"/>
        <v>10</v>
      </c>
      <c r="S786" s="4" t="str">
        <f t="shared" si="43"/>
        <v>江苏省</v>
      </c>
    </row>
    <row r="787" spans="14:19">
      <c r="N787" s="4">
        <v>786</v>
      </c>
      <c r="O787" s="4" t="s">
        <v>1672</v>
      </c>
      <c r="P787" s="4">
        <v>78</v>
      </c>
      <c r="Q787" s="4" t="str">
        <f t="shared" si="44"/>
        <v>苏州市</v>
      </c>
      <c r="R787" s="4">
        <f t="shared" si="42"/>
        <v>10</v>
      </c>
      <c r="S787" s="4" t="str">
        <f t="shared" si="43"/>
        <v>江苏省</v>
      </c>
    </row>
    <row r="788" spans="14:19">
      <c r="N788" s="4">
        <v>787</v>
      </c>
      <c r="O788" s="4" t="s">
        <v>1673</v>
      </c>
      <c r="P788" s="4">
        <v>78</v>
      </c>
      <c r="Q788" s="4" t="str">
        <f t="shared" si="44"/>
        <v>苏州市</v>
      </c>
      <c r="R788" s="4">
        <f t="shared" si="42"/>
        <v>10</v>
      </c>
      <c r="S788" s="4" t="str">
        <f t="shared" si="43"/>
        <v>江苏省</v>
      </c>
    </row>
    <row r="789" spans="14:19">
      <c r="N789" s="4">
        <v>788</v>
      </c>
      <c r="O789" s="4" t="s">
        <v>1674</v>
      </c>
      <c r="P789" s="4">
        <v>79</v>
      </c>
      <c r="Q789" s="4" t="str">
        <f t="shared" si="44"/>
        <v>南通市</v>
      </c>
      <c r="R789" s="4">
        <f t="shared" si="42"/>
        <v>10</v>
      </c>
      <c r="S789" s="4" t="str">
        <f t="shared" si="43"/>
        <v>江苏省</v>
      </c>
    </row>
    <row r="790" spans="14:19">
      <c r="N790" s="4">
        <v>789</v>
      </c>
      <c r="O790" s="4" t="s">
        <v>1675</v>
      </c>
      <c r="P790" s="4">
        <v>79</v>
      </c>
      <c r="Q790" s="4" t="str">
        <f t="shared" si="44"/>
        <v>南通市</v>
      </c>
      <c r="R790" s="4">
        <f t="shared" si="42"/>
        <v>10</v>
      </c>
      <c r="S790" s="4" t="str">
        <f t="shared" si="43"/>
        <v>江苏省</v>
      </c>
    </row>
    <row r="791" spans="14:19">
      <c r="N791" s="4">
        <v>790</v>
      </c>
      <c r="O791" s="4" t="s">
        <v>1676</v>
      </c>
      <c r="P791" s="4">
        <v>79</v>
      </c>
      <c r="Q791" s="4" t="str">
        <f t="shared" si="44"/>
        <v>南通市</v>
      </c>
      <c r="R791" s="4">
        <f t="shared" si="42"/>
        <v>10</v>
      </c>
      <c r="S791" s="4" t="str">
        <f t="shared" si="43"/>
        <v>江苏省</v>
      </c>
    </row>
    <row r="792" spans="14:19">
      <c r="N792" s="4">
        <v>791</v>
      </c>
      <c r="O792" s="4" t="s">
        <v>1677</v>
      </c>
      <c r="P792" s="4">
        <v>79</v>
      </c>
      <c r="Q792" s="4" t="str">
        <f t="shared" si="44"/>
        <v>南通市</v>
      </c>
      <c r="R792" s="4">
        <f t="shared" si="42"/>
        <v>10</v>
      </c>
      <c r="S792" s="4" t="str">
        <f t="shared" si="43"/>
        <v>江苏省</v>
      </c>
    </row>
    <row r="793" spans="14:19">
      <c r="N793" s="4">
        <v>792</v>
      </c>
      <c r="O793" s="4" t="s">
        <v>1678</v>
      </c>
      <c r="P793" s="4">
        <v>79</v>
      </c>
      <c r="Q793" s="4" t="str">
        <f t="shared" si="44"/>
        <v>南通市</v>
      </c>
      <c r="R793" s="4">
        <f t="shared" si="42"/>
        <v>10</v>
      </c>
      <c r="S793" s="4" t="str">
        <f t="shared" si="43"/>
        <v>江苏省</v>
      </c>
    </row>
    <row r="794" spans="14:19">
      <c r="N794" s="4">
        <v>793</v>
      </c>
      <c r="O794" s="4" t="s">
        <v>1679</v>
      </c>
      <c r="P794" s="4">
        <v>79</v>
      </c>
      <c r="Q794" s="4" t="str">
        <f t="shared" si="44"/>
        <v>南通市</v>
      </c>
      <c r="R794" s="4">
        <f t="shared" si="42"/>
        <v>10</v>
      </c>
      <c r="S794" s="4" t="str">
        <f t="shared" si="43"/>
        <v>江苏省</v>
      </c>
    </row>
    <row r="795" spans="14:19">
      <c r="N795" s="4">
        <v>794</v>
      </c>
      <c r="O795" s="4" t="s">
        <v>1680</v>
      </c>
      <c r="P795" s="4">
        <v>79</v>
      </c>
      <c r="Q795" s="4" t="str">
        <f t="shared" si="44"/>
        <v>南通市</v>
      </c>
      <c r="R795" s="4">
        <f t="shared" si="42"/>
        <v>10</v>
      </c>
      <c r="S795" s="4" t="str">
        <f t="shared" si="43"/>
        <v>江苏省</v>
      </c>
    </row>
    <row r="796" spans="14:19">
      <c r="N796" s="4">
        <v>795</v>
      </c>
      <c r="O796" s="4" t="s">
        <v>1681</v>
      </c>
      <c r="P796" s="4">
        <v>79</v>
      </c>
      <c r="Q796" s="4" t="str">
        <f t="shared" si="44"/>
        <v>南通市</v>
      </c>
      <c r="R796" s="4">
        <f t="shared" si="42"/>
        <v>10</v>
      </c>
      <c r="S796" s="4" t="str">
        <f t="shared" si="43"/>
        <v>江苏省</v>
      </c>
    </row>
    <row r="797" spans="14:19">
      <c r="N797" s="4">
        <v>796</v>
      </c>
      <c r="O797" s="4" t="s">
        <v>1682</v>
      </c>
      <c r="P797" s="4">
        <v>80</v>
      </c>
      <c r="Q797" s="4" t="str">
        <f t="shared" si="44"/>
        <v>连云港市</v>
      </c>
      <c r="R797" s="4">
        <f t="shared" si="42"/>
        <v>10</v>
      </c>
      <c r="S797" s="4" t="str">
        <f t="shared" si="43"/>
        <v>江苏省</v>
      </c>
    </row>
    <row r="798" spans="14:19">
      <c r="N798" s="4">
        <v>797</v>
      </c>
      <c r="O798" s="4" t="s">
        <v>1683</v>
      </c>
      <c r="P798" s="4">
        <v>80</v>
      </c>
      <c r="Q798" s="4" t="str">
        <f t="shared" si="44"/>
        <v>连云港市</v>
      </c>
      <c r="R798" s="4">
        <f t="shared" si="42"/>
        <v>10</v>
      </c>
      <c r="S798" s="4" t="str">
        <f t="shared" si="43"/>
        <v>江苏省</v>
      </c>
    </row>
    <row r="799" spans="14:19">
      <c r="N799" s="4">
        <v>798</v>
      </c>
      <c r="O799" s="4" t="s">
        <v>1385</v>
      </c>
      <c r="P799" s="4">
        <v>80</v>
      </c>
      <c r="Q799" s="4" t="str">
        <f t="shared" si="44"/>
        <v>连云港市</v>
      </c>
      <c r="R799" s="4">
        <f t="shared" si="42"/>
        <v>10</v>
      </c>
      <c r="S799" s="4" t="str">
        <f t="shared" si="43"/>
        <v>江苏省</v>
      </c>
    </row>
    <row r="800" spans="14:19">
      <c r="N800" s="4">
        <v>799</v>
      </c>
      <c r="O800" s="4" t="s">
        <v>1684</v>
      </c>
      <c r="P800" s="4">
        <v>80</v>
      </c>
      <c r="Q800" s="4" t="str">
        <f t="shared" si="44"/>
        <v>连云港市</v>
      </c>
      <c r="R800" s="4">
        <f t="shared" si="42"/>
        <v>10</v>
      </c>
      <c r="S800" s="4" t="str">
        <f t="shared" si="43"/>
        <v>江苏省</v>
      </c>
    </row>
    <row r="801" spans="14:19">
      <c r="N801" s="4">
        <v>800</v>
      </c>
      <c r="O801" s="4" t="s">
        <v>1685</v>
      </c>
      <c r="P801" s="4">
        <v>80</v>
      </c>
      <c r="Q801" s="4" t="str">
        <f t="shared" si="44"/>
        <v>连云港市</v>
      </c>
      <c r="R801" s="4">
        <f t="shared" si="42"/>
        <v>10</v>
      </c>
      <c r="S801" s="4" t="str">
        <f t="shared" si="43"/>
        <v>江苏省</v>
      </c>
    </row>
    <row r="802" spans="14:19">
      <c r="N802" s="4">
        <v>801</v>
      </c>
      <c r="O802" s="4" t="s">
        <v>1686</v>
      </c>
      <c r="P802" s="4">
        <v>80</v>
      </c>
      <c r="Q802" s="4" t="str">
        <f t="shared" si="44"/>
        <v>连云港市</v>
      </c>
      <c r="R802" s="4">
        <f t="shared" si="42"/>
        <v>10</v>
      </c>
      <c r="S802" s="4" t="str">
        <f t="shared" si="43"/>
        <v>江苏省</v>
      </c>
    </row>
    <row r="803" spans="14:19">
      <c r="N803" s="4">
        <v>802</v>
      </c>
      <c r="O803" s="4" t="s">
        <v>1687</v>
      </c>
      <c r="P803" s="4">
        <v>80</v>
      </c>
      <c r="Q803" s="4" t="str">
        <f t="shared" si="44"/>
        <v>连云港市</v>
      </c>
      <c r="R803" s="4">
        <f t="shared" si="42"/>
        <v>10</v>
      </c>
      <c r="S803" s="4" t="str">
        <f t="shared" si="43"/>
        <v>江苏省</v>
      </c>
    </row>
    <row r="804" spans="14:19">
      <c r="N804" s="4">
        <v>803</v>
      </c>
      <c r="O804" s="4" t="s">
        <v>1404</v>
      </c>
      <c r="P804" s="4">
        <v>81</v>
      </c>
      <c r="Q804" s="4" t="str">
        <f t="shared" si="44"/>
        <v>淮安市</v>
      </c>
      <c r="R804" s="4">
        <f t="shared" si="42"/>
        <v>10</v>
      </c>
      <c r="S804" s="4" t="str">
        <f t="shared" si="43"/>
        <v>江苏省</v>
      </c>
    </row>
    <row r="805" spans="14:19">
      <c r="N805" s="4">
        <v>804</v>
      </c>
      <c r="O805" s="4" t="s">
        <v>1688</v>
      </c>
      <c r="P805" s="4">
        <v>81</v>
      </c>
      <c r="Q805" s="4" t="str">
        <f t="shared" si="44"/>
        <v>淮安市</v>
      </c>
      <c r="R805" s="4">
        <f t="shared" si="42"/>
        <v>10</v>
      </c>
      <c r="S805" s="4" t="str">
        <f t="shared" si="43"/>
        <v>江苏省</v>
      </c>
    </row>
    <row r="806" spans="14:19">
      <c r="N806" s="4">
        <v>805</v>
      </c>
      <c r="O806" s="4" t="s">
        <v>1689</v>
      </c>
      <c r="P806" s="4">
        <v>81</v>
      </c>
      <c r="Q806" s="4" t="str">
        <f t="shared" si="44"/>
        <v>淮安市</v>
      </c>
      <c r="R806" s="4">
        <f t="shared" si="42"/>
        <v>10</v>
      </c>
      <c r="S806" s="4" t="str">
        <f t="shared" si="43"/>
        <v>江苏省</v>
      </c>
    </row>
    <row r="807" spans="14:19">
      <c r="N807" s="4">
        <v>806</v>
      </c>
      <c r="O807" s="4" t="s">
        <v>1690</v>
      </c>
      <c r="P807" s="4">
        <v>81</v>
      </c>
      <c r="Q807" s="4" t="str">
        <f t="shared" si="44"/>
        <v>淮安市</v>
      </c>
      <c r="R807" s="4">
        <f t="shared" si="42"/>
        <v>10</v>
      </c>
      <c r="S807" s="4" t="str">
        <f t="shared" si="43"/>
        <v>江苏省</v>
      </c>
    </row>
    <row r="808" spans="14:19">
      <c r="N808" s="4">
        <v>807</v>
      </c>
      <c r="O808" s="4" t="s">
        <v>1691</v>
      </c>
      <c r="P808" s="4">
        <v>81</v>
      </c>
      <c r="Q808" s="4" t="str">
        <f t="shared" si="44"/>
        <v>淮安市</v>
      </c>
      <c r="R808" s="4">
        <f t="shared" si="42"/>
        <v>10</v>
      </c>
      <c r="S808" s="4" t="str">
        <f t="shared" si="43"/>
        <v>江苏省</v>
      </c>
    </row>
    <row r="809" spans="14:19">
      <c r="N809" s="4">
        <v>808</v>
      </c>
      <c r="O809" s="4" t="s">
        <v>1692</v>
      </c>
      <c r="P809" s="4">
        <v>81</v>
      </c>
      <c r="Q809" s="4" t="str">
        <f t="shared" si="44"/>
        <v>淮安市</v>
      </c>
      <c r="R809" s="4">
        <f t="shared" si="42"/>
        <v>10</v>
      </c>
      <c r="S809" s="4" t="str">
        <f t="shared" si="43"/>
        <v>江苏省</v>
      </c>
    </row>
    <row r="810" spans="14:19">
      <c r="N810" s="4">
        <v>809</v>
      </c>
      <c r="O810" s="4" t="s">
        <v>1693</v>
      </c>
      <c r="P810" s="4">
        <v>81</v>
      </c>
      <c r="Q810" s="4" t="str">
        <f t="shared" si="44"/>
        <v>淮安市</v>
      </c>
      <c r="R810" s="4">
        <f t="shared" si="42"/>
        <v>10</v>
      </c>
      <c r="S810" s="4" t="str">
        <f t="shared" si="43"/>
        <v>江苏省</v>
      </c>
    </row>
    <row r="811" spans="14:19">
      <c r="N811" s="4">
        <v>810</v>
      </c>
      <c r="O811" s="4" t="s">
        <v>1694</v>
      </c>
      <c r="P811" s="4">
        <v>81</v>
      </c>
      <c r="Q811" s="4" t="str">
        <f t="shared" si="44"/>
        <v>淮安市</v>
      </c>
      <c r="R811" s="4">
        <f t="shared" si="42"/>
        <v>10</v>
      </c>
      <c r="S811" s="4" t="str">
        <f t="shared" si="43"/>
        <v>江苏省</v>
      </c>
    </row>
    <row r="812" spans="14:19">
      <c r="N812" s="4">
        <v>811</v>
      </c>
      <c r="O812" s="4" t="s">
        <v>1695</v>
      </c>
      <c r="P812" s="4">
        <v>82</v>
      </c>
      <c r="Q812" s="4" t="str">
        <f t="shared" si="44"/>
        <v>盐城市</v>
      </c>
      <c r="R812" s="4">
        <f t="shared" si="42"/>
        <v>10</v>
      </c>
      <c r="S812" s="4" t="str">
        <f t="shared" si="43"/>
        <v>江苏省</v>
      </c>
    </row>
    <row r="813" spans="14:19">
      <c r="N813" s="4">
        <v>812</v>
      </c>
      <c r="O813" s="4" t="s">
        <v>1696</v>
      </c>
      <c r="P813" s="4">
        <v>82</v>
      </c>
      <c r="Q813" s="4" t="str">
        <f t="shared" si="44"/>
        <v>盐城市</v>
      </c>
      <c r="R813" s="4">
        <f t="shared" si="42"/>
        <v>10</v>
      </c>
      <c r="S813" s="4" t="str">
        <f t="shared" si="43"/>
        <v>江苏省</v>
      </c>
    </row>
    <row r="814" spans="14:19">
      <c r="N814" s="4">
        <v>813</v>
      </c>
      <c r="O814" s="4" t="s">
        <v>1697</v>
      </c>
      <c r="P814" s="4">
        <v>82</v>
      </c>
      <c r="Q814" s="4" t="str">
        <f t="shared" si="44"/>
        <v>盐城市</v>
      </c>
      <c r="R814" s="4">
        <f t="shared" si="42"/>
        <v>10</v>
      </c>
      <c r="S814" s="4" t="str">
        <f t="shared" si="43"/>
        <v>江苏省</v>
      </c>
    </row>
    <row r="815" spans="14:19">
      <c r="N815" s="4">
        <v>814</v>
      </c>
      <c r="O815" s="4" t="s">
        <v>1698</v>
      </c>
      <c r="P815" s="4">
        <v>82</v>
      </c>
      <c r="Q815" s="4" t="str">
        <f t="shared" si="44"/>
        <v>盐城市</v>
      </c>
      <c r="R815" s="4">
        <f t="shared" si="42"/>
        <v>10</v>
      </c>
      <c r="S815" s="4" t="str">
        <f t="shared" si="43"/>
        <v>江苏省</v>
      </c>
    </row>
    <row r="816" spans="14:19">
      <c r="N816" s="4">
        <v>815</v>
      </c>
      <c r="O816" s="4" t="s">
        <v>1699</v>
      </c>
      <c r="P816" s="4">
        <v>82</v>
      </c>
      <c r="Q816" s="4" t="str">
        <f t="shared" si="44"/>
        <v>盐城市</v>
      </c>
      <c r="R816" s="4">
        <f t="shared" si="42"/>
        <v>10</v>
      </c>
      <c r="S816" s="4" t="str">
        <f t="shared" si="43"/>
        <v>江苏省</v>
      </c>
    </row>
    <row r="817" spans="14:19">
      <c r="N817" s="4">
        <v>816</v>
      </c>
      <c r="O817" s="4" t="s">
        <v>1700</v>
      </c>
      <c r="P817" s="4">
        <v>82</v>
      </c>
      <c r="Q817" s="4" t="str">
        <f t="shared" si="44"/>
        <v>盐城市</v>
      </c>
      <c r="R817" s="4">
        <f t="shared" si="42"/>
        <v>10</v>
      </c>
      <c r="S817" s="4" t="str">
        <f t="shared" si="43"/>
        <v>江苏省</v>
      </c>
    </row>
    <row r="818" spans="14:19">
      <c r="N818" s="4">
        <v>817</v>
      </c>
      <c r="O818" s="4" t="s">
        <v>1701</v>
      </c>
      <c r="P818" s="4">
        <v>82</v>
      </c>
      <c r="Q818" s="4" t="str">
        <f t="shared" si="44"/>
        <v>盐城市</v>
      </c>
      <c r="R818" s="4">
        <f t="shared" si="42"/>
        <v>10</v>
      </c>
      <c r="S818" s="4" t="str">
        <f t="shared" si="43"/>
        <v>江苏省</v>
      </c>
    </row>
    <row r="819" spans="14:19">
      <c r="N819" s="4">
        <v>818</v>
      </c>
      <c r="O819" s="4" t="s">
        <v>1702</v>
      </c>
      <c r="P819" s="4">
        <v>82</v>
      </c>
      <c r="Q819" s="4" t="str">
        <f t="shared" si="44"/>
        <v>盐城市</v>
      </c>
      <c r="R819" s="4">
        <f t="shared" si="42"/>
        <v>10</v>
      </c>
      <c r="S819" s="4" t="str">
        <f t="shared" si="43"/>
        <v>江苏省</v>
      </c>
    </row>
    <row r="820" spans="14:19">
      <c r="N820" s="4">
        <v>819</v>
      </c>
      <c r="O820" s="4" t="s">
        <v>1703</v>
      </c>
      <c r="P820" s="4">
        <v>82</v>
      </c>
      <c r="Q820" s="4" t="str">
        <f t="shared" si="44"/>
        <v>盐城市</v>
      </c>
      <c r="R820" s="4">
        <f t="shared" si="42"/>
        <v>10</v>
      </c>
      <c r="S820" s="4" t="str">
        <f t="shared" si="43"/>
        <v>江苏省</v>
      </c>
    </row>
    <row r="821" spans="14:19">
      <c r="N821" s="4">
        <v>820</v>
      </c>
      <c r="O821" s="4" t="s">
        <v>1704</v>
      </c>
      <c r="P821" s="4">
        <v>83</v>
      </c>
      <c r="Q821" s="4" t="str">
        <f t="shared" si="44"/>
        <v>扬州市</v>
      </c>
      <c r="R821" s="4">
        <f t="shared" si="42"/>
        <v>10</v>
      </c>
      <c r="S821" s="4" t="str">
        <f t="shared" si="43"/>
        <v>江苏省</v>
      </c>
    </row>
    <row r="822" spans="14:19">
      <c r="N822" s="4">
        <v>821</v>
      </c>
      <c r="O822" s="4" t="s">
        <v>1705</v>
      </c>
      <c r="P822" s="4">
        <v>83</v>
      </c>
      <c r="Q822" s="4" t="str">
        <f t="shared" si="44"/>
        <v>扬州市</v>
      </c>
      <c r="R822" s="4">
        <f t="shared" si="42"/>
        <v>10</v>
      </c>
      <c r="S822" s="4" t="str">
        <f t="shared" si="43"/>
        <v>江苏省</v>
      </c>
    </row>
    <row r="823" spans="14:19">
      <c r="N823" s="4">
        <v>822</v>
      </c>
      <c r="O823" s="4" t="s">
        <v>1706</v>
      </c>
      <c r="P823" s="4">
        <v>83</v>
      </c>
      <c r="Q823" s="4" t="str">
        <f t="shared" si="44"/>
        <v>扬州市</v>
      </c>
      <c r="R823" s="4">
        <f t="shared" si="42"/>
        <v>10</v>
      </c>
      <c r="S823" s="4" t="str">
        <f t="shared" si="43"/>
        <v>江苏省</v>
      </c>
    </row>
    <row r="824" spans="14:19">
      <c r="N824" s="4">
        <v>823</v>
      </c>
      <c r="O824" s="4" t="s">
        <v>1707</v>
      </c>
      <c r="P824" s="4">
        <v>83</v>
      </c>
      <c r="Q824" s="4" t="str">
        <f t="shared" si="44"/>
        <v>扬州市</v>
      </c>
      <c r="R824" s="4">
        <f t="shared" si="42"/>
        <v>10</v>
      </c>
      <c r="S824" s="4" t="str">
        <f t="shared" si="43"/>
        <v>江苏省</v>
      </c>
    </row>
    <row r="825" spans="14:19">
      <c r="N825" s="4">
        <v>824</v>
      </c>
      <c r="O825" s="4" t="s">
        <v>1708</v>
      </c>
      <c r="P825" s="4">
        <v>83</v>
      </c>
      <c r="Q825" s="4" t="str">
        <f t="shared" si="44"/>
        <v>扬州市</v>
      </c>
      <c r="R825" s="4">
        <f t="shared" si="42"/>
        <v>10</v>
      </c>
      <c r="S825" s="4" t="str">
        <f t="shared" si="43"/>
        <v>江苏省</v>
      </c>
    </row>
    <row r="826" spans="14:19">
      <c r="N826" s="4">
        <v>825</v>
      </c>
      <c r="O826" s="4" t="s">
        <v>1709</v>
      </c>
      <c r="P826" s="4">
        <v>83</v>
      </c>
      <c r="Q826" s="4" t="str">
        <f t="shared" si="44"/>
        <v>扬州市</v>
      </c>
      <c r="R826" s="4">
        <f t="shared" si="42"/>
        <v>10</v>
      </c>
      <c r="S826" s="4" t="str">
        <f t="shared" si="43"/>
        <v>江苏省</v>
      </c>
    </row>
    <row r="827" spans="14:19">
      <c r="N827" s="4">
        <v>826</v>
      </c>
      <c r="O827" s="4" t="s">
        <v>1710</v>
      </c>
      <c r="P827" s="4">
        <v>83</v>
      </c>
      <c r="Q827" s="4" t="str">
        <f t="shared" si="44"/>
        <v>扬州市</v>
      </c>
      <c r="R827" s="4">
        <f t="shared" si="42"/>
        <v>10</v>
      </c>
      <c r="S827" s="4" t="str">
        <f t="shared" si="43"/>
        <v>江苏省</v>
      </c>
    </row>
    <row r="828" spans="14:19">
      <c r="N828" s="4">
        <v>827</v>
      </c>
      <c r="O828" s="4" t="s">
        <v>1711</v>
      </c>
      <c r="P828" s="4">
        <v>84</v>
      </c>
      <c r="Q828" s="4" t="str">
        <f t="shared" si="44"/>
        <v>镇江市</v>
      </c>
      <c r="R828" s="4">
        <f t="shared" si="42"/>
        <v>10</v>
      </c>
      <c r="S828" s="4" t="str">
        <f t="shared" si="43"/>
        <v>江苏省</v>
      </c>
    </row>
    <row r="829" spans="14:19">
      <c r="N829" s="4">
        <v>828</v>
      </c>
      <c r="O829" s="4" t="s">
        <v>1712</v>
      </c>
      <c r="P829" s="4">
        <v>84</v>
      </c>
      <c r="Q829" s="4" t="str">
        <f t="shared" si="44"/>
        <v>镇江市</v>
      </c>
      <c r="R829" s="4">
        <f t="shared" si="42"/>
        <v>10</v>
      </c>
      <c r="S829" s="4" t="str">
        <f t="shared" si="43"/>
        <v>江苏省</v>
      </c>
    </row>
    <row r="830" spans="14:19">
      <c r="N830" s="4">
        <v>829</v>
      </c>
      <c r="O830" s="4" t="s">
        <v>1713</v>
      </c>
      <c r="P830" s="4">
        <v>84</v>
      </c>
      <c r="Q830" s="4" t="str">
        <f t="shared" si="44"/>
        <v>镇江市</v>
      </c>
      <c r="R830" s="4">
        <f t="shared" si="42"/>
        <v>10</v>
      </c>
      <c r="S830" s="4" t="str">
        <f t="shared" si="43"/>
        <v>江苏省</v>
      </c>
    </row>
    <row r="831" spans="14:19">
      <c r="N831" s="4">
        <v>830</v>
      </c>
      <c r="O831" s="4" t="s">
        <v>1714</v>
      </c>
      <c r="P831" s="4">
        <v>84</v>
      </c>
      <c r="Q831" s="4" t="str">
        <f t="shared" si="44"/>
        <v>镇江市</v>
      </c>
      <c r="R831" s="4">
        <f t="shared" si="42"/>
        <v>10</v>
      </c>
      <c r="S831" s="4" t="str">
        <f t="shared" si="43"/>
        <v>江苏省</v>
      </c>
    </row>
    <row r="832" spans="14:19">
      <c r="N832" s="4">
        <v>831</v>
      </c>
      <c r="O832" s="4" t="s">
        <v>1715</v>
      </c>
      <c r="P832" s="4">
        <v>84</v>
      </c>
      <c r="Q832" s="4" t="str">
        <f t="shared" si="44"/>
        <v>镇江市</v>
      </c>
      <c r="R832" s="4">
        <f t="shared" si="42"/>
        <v>10</v>
      </c>
      <c r="S832" s="4" t="str">
        <f t="shared" si="43"/>
        <v>江苏省</v>
      </c>
    </row>
    <row r="833" spans="14:19">
      <c r="N833" s="4">
        <v>832</v>
      </c>
      <c r="O833" s="4" t="s">
        <v>1716</v>
      </c>
      <c r="P833" s="4">
        <v>84</v>
      </c>
      <c r="Q833" s="4" t="str">
        <f t="shared" si="44"/>
        <v>镇江市</v>
      </c>
      <c r="R833" s="4">
        <f t="shared" si="42"/>
        <v>10</v>
      </c>
      <c r="S833" s="4" t="str">
        <f t="shared" si="43"/>
        <v>江苏省</v>
      </c>
    </row>
    <row r="834" spans="14:19">
      <c r="N834" s="4">
        <v>833</v>
      </c>
      <c r="O834" s="4" t="s">
        <v>1717</v>
      </c>
      <c r="P834" s="4">
        <v>85</v>
      </c>
      <c r="Q834" s="4" t="str">
        <f t="shared" si="44"/>
        <v>泰州市</v>
      </c>
      <c r="R834" s="4">
        <f t="shared" ref="R834:R897" si="45">VLOOKUP(P834,$I$2:$M$346,3,FALSE)</f>
        <v>10</v>
      </c>
      <c r="S834" s="4" t="str">
        <f t="shared" ref="S834:S897" si="46">VLOOKUP(P834,$I$2:$M$346,4,FALSE)</f>
        <v>江苏省</v>
      </c>
    </row>
    <row r="835" spans="14:19">
      <c r="N835" s="4">
        <v>834</v>
      </c>
      <c r="O835" s="4" t="s">
        <v>1718</v>
      </c>
      <c r="P835" s="4">
        <v>85</v>
      </c>
      <c r="Q835" s="4" t="str">
        <f t="shared" ref="Q835:Q898" si="47">VLOOKUP(P835,$I$2:$J$346,2,FALSE)</f>
        <v>泰州市</v>
      </c>
      <c r="R835" s="4">
        <f t="shared" si="45"/>
        <v>10</v>
      </c>
      <c r="S835" s="4" t="str">
        <f t="shared" si="46"/>
        <v>江苏省</v>
      </c>
    </row>
    <row r="836" spans="14:19">
      <c r="N836" s="4">
        <v>835</v>
      </c>
      <c r="O836" s="4" t="s">
        <v>1719</v>
      </c>
      <c r="P836" s="4">
        <v>85</v>
      </c>
      <c r="Q836" s="4" t="str">
        <f t="shared" si="47"/>
        <v>泰州市</v>
      </c>
      <c r="R836" s="4">
        <f t="shared" si="45"/>
        <v>10</v>
      </c>
      <c r="S836" s="4" t="str">
        <f t="shared" si="46"/>
        <v>江苏省</v>
      </c>
    </row>
    <row r="837" spans="14:19">
      <c r="N837" s="4">
        <v>836</v>
      </c>
      <c r="O837" s="4" t="s">
        <v>1720</v>
      </c>
      <c r="P837" s="4">
        <v>85</v>
      </c>
      <c r="Q837" s="4" t="str">
        <f t="shared" si="47"/>
        <v>泰州市</v>
      </c>
      <c r="R837" s="4">
        <f t="shared" si="45"/>
        <v>10</v>
      </c>
      <c r="S837" s="4" t="str">
        <f t="shared" si="46"/>
        <v>江苏省</v>
      </c>
    </row>
    <row r="838" spans="14:19">
      <c r="N838" s="4">
        <v>837</v>
      </c>
      <c r="O838" s="4" t="s">
        <v>1721</v>
      </c>
      <c r="P838" s="4">
        <v>85</v>
      </c>
      <c r="Q838" s="4" t="str">
        <f t="shared" si="47"/>
        <v>泰州市</v>
      </c>
      <c r="R838" s="4">
        <f t="shared" si="45"/>
        <v>10</v>
      </c>
      <c r="S838" s="4" t="str">
        <f t="shared" si="46"/>
        <v>江苏省</v>
      </c>
    </row>
    <row r="839" spans="14:19">
      <c r="N839" s="4">
        <v>838</v>
      </c>
      <c r="O839" s="4" t="s">
        <v>1722</v>
      </c>
      <c r="P839" s="4">
        <v>85</v>
      </c>
      <c r="Q839" s="4" t="str">
        <f t="shared" si="47"/>
        <v>泰州市</v>
      </c>
      <c r="R839" s="4">
        <f t="shared" si="45"/>
        <v>10</v>
      </c>
      <c r="S839" s="4" t="str">
        <f t="shared" si="46"/>
        <v>江苏省</v>
      </c>
    </row>
    <row r="840" spans="14:19">
      <c r="N840" s="4">
        <v>839</v>
      </c>
      <c r="O840" s="4" t="s">
        <v>1723</v>
      </c>
      <c r="P840" s="4">
        <v>86</v>
      </c>
      <c r="Q840" s="4" t="str">
        <f t="shared" si="47"/>
        <v>宿迁市</v>
      </c>
      <c r="R840" s="4">
        <f t="shared" si="45"/>
        <v>10</v>
      </c>
      <c r="S840" s="4" t="str">
        <f t="shared" si="46"/>
        <v>江苏省</v>
      </c>
    </row>
    <row r="841" spans="14:19">
      <c r="N841" s="4">
        <v>840</v>
      </c>
      <c r="O841" s="4" t="s">
        <v>1724</v>
      </c>
      <c r="P841" s="4">
        <v>86</v>
      </c>
      <c r="Q841" s="4" t="str">
        <f t="shared" si="47"/>
        <v>宿迁市</v>
      </c>
      <c r="R841" s="4">
        <f t="shared" si="45"/>
        <v>10</v>
      </c>
      <c r="S841" s="4" t="str">
        <f t="shared" si="46"/>
        <v>江苏省</v>
      </c>
    </row>
    <row r="842" spans="14:19">
      <c r="N842" s="4">
        <v>841</v>
      </c>
      <c r="O842" s="4" t="s">
        <v>1725</v>
      </c>
      <c r="P842" s="4">
        <v>86</v>
      </c>
      <c r="Q842" s="4" t="str">
        <f t="shared" si="47"/>
        <v>宿迁市</v>
      </c>
      <c r="R842" s="4">
        <f t="shared" si="45"/>
        <v>10</v>
      </c>
      <c r="S842" s="4" t="str">
        <f t="shared" si="46"/>
        <v>江苏省</v>
      </c>
    </row>
    <row r="843" spans="14:19">
      <c r="N843" s="4">
        <v>842</v>
      </c>
      <c r="O843" s="4" t="s">
        <v>1726</v>
      </c>
      <c r="P843" s="4">
        <v>86</v>
      </c>
      <c r="Q843" s="4" t="str">
        <f t="shared" si="47"/>
        <v>宿迁市</v>
      </c>
      <c r="R843" s="4">
        <f t="shared" si="45"/>
        <v>10</v>
      </c>
      <c r="S843" s="4" t="str">
        <f t="shared" si="46"/>
        <v>江苏省</v>
      </c>
    </row>
    <row r="844" spans="14:19">
      <c r="N844" s="4">
        <v>843</v>
      </c>
      <c r="O844" s="4" t="s">
        <v>1727</v>
      </c>
      <c r="P844" s="4">
        <v>86</v>
      </c>
      <c r="Q844" s="4" t="str">
        <f t="shared" si="47"/>
        <v>宿迁市</v>
      </c>
      <c r="R844" s="4">
        <f t="shared" si="45"/>
        <v>10</v>
      </c>
      <c r="S844" s="4" t="str">
        <f t="shared" si="46"/>
        <v>江苏省</v>
      </c>
    </row>
    <row r="845" spans="14:19">
      <c r="N845" s="4">
        <v>844</v>
      </c>
      <c r="O845" s="4" t="s">
        <v>1728</v>
      </c>
      <c r="P845" s="4">
        <v>87</v>
      </c>
      <c r="Q845" s="4" t="str">
        <f t="shared" si="47"/>
        <v>杭州市</v>
      </c>
      <c r="R845" s="4">
        <f t="shared" si="45"/>
        <v>11</v>
      </c>
      <c r="S845" s="4" t="str">
        <f t="shared" si="46"/>
        <v>浙江省</v>
      </c>
    </row>
    <row r="846" spans="14:19">
      <c r="N846" s="4">
        <v>845</v>
      </c>
      <c r="O846" s="4" t="s">
        <v>1729</v>
      </c>
      <c r="P846" s="4">
        <v>87</v>
      </c>
      <c r="Q846" s="4" t="str">
        <f t="shared" si="47"/>
        <v>杭州市</v>
      </c>
      <c r="R846" s="4">
        <f t="shared" si="45"/>
        <v>11</v>
      </c>
      <c r="S846" s="4" t="str">
        <f t="shared" si="46"/>
        <v>浙江省</v>
      </c>
    </row>
    <row r="847" spans="14:19">
      <c r="N847" s="4">
        <v>846</v>
      </c>
      <c r="O847" s="4" t="s">
        <v>1730</v>
      </c>
      <c r="P847" s="4">
        <v>87</v>
      </c>
      <c r="Q847" s="4" t="str">
        <f t="shared" si="47"/>
        <v>杭州市</v>
      </c>
      <c r="R847" s="4">
        <f t="shared" si="45"/>
        <v>11</v>
      </c>
      <c r="S847" s="4" t="str">
        <f t="shared" si="46"/>
        <v>浙江省</v>
      </c>
    </row>
    <row r="848" spans="14:19">
      <c r="N848" s="4">
        <v>847</v>
      </c>
      <c r="O848" s="4" t="s">
        <v>1731</v>
      </c>
      <c r="P848" s="4">
        <v>87</v>
      </c>
      <c r="Q848" s="4" t="str">
        <f t="shared" si="47"/>
        <v>杭州市</v>
      </c>
      <c r="R848" s="4">
        <f t="shared" si="45"/>
        <v>11</v>
      </c>
      <c r="S848" s="4" t="str">
        <f t="shared" si="46"/>
        <v>浙江省</v>
      </c>
    </row>
    <row r="849" spans="14:19">
      <c r="N849" s="4">
        <v>848</v>
      </c>
      <c r="O849" s="4" t="s">
        <v>1732</v>
      </c>
      <c r="P849" s="4">
        <v>87</v>
      </c>
      <c r="Q849" s="4" t="str">
        <f t="shared" si="47"/>
        <v>杭州市</v>
      </c>
      <c r="R849" s="4">
        <f t="shared" si="45"/>
        <v>11</v>
      </c>
      <c r="S849" s="4" t="str">
        <f t="shared" si="46"/>
        <v>浙江省</v>
      </c>
    </row>
    <row r="850" spans="14:19">
      <c r="N850" s="4">
        <v>849</v>
      </c>
      <c r="O850" s="4" t="s">
        <v>1733</v>
      </c>
      <c r="P850" s="4">
        <v>87</v>
      </c>
      <c r="Q850" s="4" t="str">
        <f t="shared" si="47"/>
        <v>杭州市</v>
      </c>
      <c r="R850" s="4">
        <f t="shared" si="45"/>
        <v>11</v>
      </c>
      <c r="S850" s="4" t="str">
        <f t="shared" si="46"/>
        <v>浙江省</v>
      </c>
    </row>
    <row r="851" spans="14:19">
      <c r="N851" s="4">
        <v>850</v>
      </c>
      <c r="O851" s="4" t="s">
        <v>1734</v>
      </c>
      <c r="P851" s="4">
        <v>87</v>
      </c>
      <c r="Q851" s="4" t="str">
        <f t="shared" si="47"/>
        <v>杭州市</v>
      </c>
      <c r="R851" s="4">
        <f t="shared" si="45"/>
        <v>11</v>
      </c>
      <c r="S851" s="4" t="str">
        <f t="shared" si="46"/>
        <v>浙江省</v>
      </c>
    </row>
    <row r="852" spans="14:19">
      <c r="N852" s="4">
        <v>851</v>
      </c>
      <c r="O852" s="4" t="s">
        <v>1735</v>
      </c>
      <c r="P852" s="4">
        <v>87</v>
      </c>
      <c r="Q852" s="4" t="str">
        <f t="shared" si="47"/>
        <v>杭州市</v>
      </c>
      <c r="R852" s="4">
        <f t="shared" si="45"/>
        <v>11</v>
      </c>
      <c r="S852" s="4" t="str">
        <f t="shared" si="46"/>
        <v>浙江省</v>
      </c>
    </row>
    <row r="853" spans="14:19">
      <c r="N853" s="4">
        <v>852</v>
      </c>
      <c r="O853" s="4" t="s">
        <v>1736</v>
      </c>
      <c r="P853" s="4">
        <v>87</v>
      </c>
      <c r="Q853" s="4" t="str">
        <f t="shared" si="47"/>
        <v>杭州市</v>
      </c>
      <c r="R853" s="4">
        <f t="shared" si="45"/>
        <v>11</v>
      </c>
      <c r="S853" s="4" t="str">
        <f t="shared" si="46"/>
        <v>浙江省</v>
      </c>
    </row>
    <row r="854" spans="14:19">
      <c r="N854" s="4">
        <v>853</v>
      </c>
      <c r="O854" s="4" t="s">
        <v>1737</v>
      </c>
      <c r="P854" s="4">
        <v>87</v>
      </c>
      <c r="Q854" s="4" t="str">
        <f t="shared" si="47"/>
        <v>杭州市</v>
      </c>
      <c r="R854" s="4">
        <f t="shared" si="45"/>
        <v>11</v>
      </c>
      <c r="S854" s="4" t="str">
        <f t="shared" si="46"/>
        <v>浙江省</v>
      </c>
    </row>
    <row r="855" spans="14:19">
      <c r="N855" s="4">
        <v>854</v>
      </c>
      <c r="O855" s="4" t="s">
        <v>1738</v>
      </c>
      <c r="P855" s="4">
        <v>87</v>
      </c>
      <c r="Q855" s="4" t="str">
        <f t="shared" si="47"/>
        <v>杭州市</v>
      </c>
      <c r="R855" s="4">
        <f t="shared" si="45"/>
        <v>11</v>
      </c>
      <c r="S855" s="4" t="str">
        <f t="shared" si="46"/>
        <v>浙江省</v>
      </c>
    </row>
    <row r="856" spans="14:19">
      <c r="N856" s="4">
        <v>855</v>
      </c>
      <c r="O856" s="4" t="s">
        <v>1739</v>
      </c>
      <c r="P856" s="4">
        <v>87</v>
      </c>
      <c r="Q856" s="4" t="str">
        <f t="shared" si="47"/>
        <v>杭州市</v>
      </c>
      <c r="R856" s="4">
        <f t="shared" si="45"/>
        <v>11</v>
      </c>
      <c r="S856" s="4" t="str">
        <f t="shared" si="46"/>
        <v>浙江省</v>
      </c>
    </row>
    <row r="857" spans="14:19">
      <c r="N857" s="4">
        <v>856</v>
      </c>
      <c r="O857" s="4" t="s">
        <v>1740</v>
      </c>
      <c r="P857" s="4">
        <v>87</v>
      </c>
      <c r="Q857" s="4" t="str">
        <f t="shared" si="47"/>
        <v>杭州市</v>
      </c>
      <c r="R857" s="4">
        <f t="shared" si="45"/>
        <v>11</v>
      </c>
      <c r="S857" s="4" t="str">
        <f t="shared" si="46"/>
        <v>浙江省</v>
      </c>
    </row>
    <row r="858" spans="14:19">
      <c r="N858" s="4">
        <v>857</v>
      </c>
      <c r="O858" s="4" t="s">
        <v>1741</v>
      </c>
      <c r="P858" s="4">
        <v>88</v>
      </c>
      <c r="Q858" s="4" t="str">
        <f t="shared" si="47"/>
        <v>宁波市</v>
      </c>
      <c r="R858" s="4">
        <f t="shared" si="45"/>
        <v>11</v>
      </c>
      <c r="S858" s="4" t="str">
        <f t="shared" si="46"/>
        <v>浙江省</v>
      </c>
    </row>
    <row r="859" spans="14:19">
      <c r="N859" s="4">
        <v>858</v>
      </c>
      <c r="O859" s="4" t="s">
        <v>1742</v>
      </c>
      <c r="P859" s="4">
        <v>88</v>
      </c>
      <c r="Q859" s="4" t="str">
        <f t="shared" si="47"/>
        <v>宁波市</v>
      </c>
      <c r="R859" s="4">
        <f t="shared" si="45"/>
        <v>11</v>
      </c>
      <c r="S859" s="4" t="str">
        <f t="shared" si="46"/>
        <v>浙江省</v>
      </c>
    </row>
    <row r="860" spans="14:19">
      <c r="N860" s="4">
        <v>859</v>
      </c>
      <c r="O860" s="4" t="s">
        <v>1743</v>
      </c>
      <c r="P860" s="4">
        <v>88</v>
      </c>
      <c r="Q860" s="4" t="str">
        <f t="shared" si="47"/>
        <v>宁波市</v>
      </c>
      <c r="R860" s="4">
        <f t="shared" si="45"/>
        <v>11</v>
      </c>
      <c r="S860" s="4" t="str">
        <f t="shared" si="46"/>
        <v>浙江省</v>
      </c>
    </row>
    <row r="861" spans="14:19">
      <c r="N861" s="4">
        <v>860</v>
      </c>
      <c r="O861" s="4" t="s">
        <v>1744</v>
      </c>
      <c r="P861" s="4">
        <v>88</v>
      </c>
      <c r="Q861" s="4" t="str">
        <f t="shared" si="47"/>
        <v>宁波市</v>
      </c>
      <c r="R861" s="4">
        <f t="shared" si="45"/>
        <v>11</v>
      </c>
      <c r="S861" s="4" t="str">
        <f t="shared" si="46"/>
        <v>浙江省</v>
      </c>
    </row>
    <row r="862" spans="14:19">
      <c r="N862" s="4">
        <v>861</v>
      </c>
      <c r="O862" s="4" t="s">
        <v>1745</v>
      </c>
      <c r="P862" s="4">
        <v>88</v>
      </c>
      <c r="Q862" s="4" t="str">
        <f t="shared" si="47"/>
        <v>宁波市</v>
      </c>
      <c r="R862" s="4">
        <f t="shared" si="45"/>
        <v>11</v>
      </c>
      <c r="S862" s="4" t="str">
        <f t="shared" si="46"/>
        <v>浙江省</v>
      </c>
    </row>
    <row r="863" spans="14:19">
      <c r="N863" s="4">
        <v>862</v>
      </c>
      <c r="O863" s="4" t="s">
        <v>1746</v>
      </c>
      <c r="P863" s="4">
        <v>88</v>
      </c>
      <c r="Q863" s="4" t="str">
        <f t="shared" si="47"/>
        <v>宁波市</v>
      </c>
      <c r="R863" s="4">
        <f t="shared" si="45"/>
        <v>11</v>
      </c>
      <c r="S863" s="4" t="str">
        <f t="shared" si="46"/>
        <v>浙江省</v>
      </c>
    </row>
    <row r="864" spans="14:19">
      <c r="N864" s="4">
        <v>863</v>
      </c>
      <c r="O864" s="4" t="s">
        <v>1747</v>
      </c>
      <c r="P864" s="4">
        <v>88</v>
      </c>
      <c r="Q864" s="4" t="str">
        <f t="shared" si="47"/>
        <v>宁波市</v>
      </c>
      <c r="R864" s="4">
        <f t="shared" si="45"/>
        <v>11</v>
      </c>
      <c r="S864" s="4" t="str">
        <f t="shared" si="46"/>
        <v>浙江省</v>
      </c>
    </row>
    <row r="865" spans="14:19">
      <c r="N865" s="4">
        <v>864</v>
      </c>
      <c r="O865" s="4" t="s">
        <v>1748</v>
      </c>
      <c r="P865" s="4">
        <v>88</v>
      </c>
      <c r="Q865" s="4" t="str">
        <f t="shared" si="47"/>
        <v>宁波市</v>
      </c>
      <c r="R865" s="4">
        <f t="shared" si="45"/>
        <v>11</v>
      </c>
      <c r="S865" s="4" t="str">
        <f t="shared" si="46"/>
        <v>浙江省</v>
      </c>
    </row>
    <row r="866" spans="14:19">
      <c r="N866" s="4">
        <v>865</v>
      </c>
      <c r="O866" s="4" t="s">
        <v>1749</v>
      </c>
      <c r="P866" s="4">
        <v>88</v>
      </c>
      <c r="Q866" s="4" t="str">
        <f t="shared" si="47"/>
        <v>宁波市</v>
      </c>
      <c r="R866" s="4">
        <f t="shared" si="45"/>
        <v>11</v>
      </c>
      <c r="S866" s="4" t="str">
        <f t="shared" si="46"/>
        <v>浙江省</v>
      </c>
    </row>
    <row r="867" spans="14:19">
      <c r="N867" s="4">
        <v>866</v>
      </c>
      <c r="O867" s="4" t="s">
        <v>1750</v>
      </c>
      <c r="P867" s="4">
        <v>88</v>
      </c>
      <c r="Q867" s="4" t="str">
        <f t="shared" si="47"/>
        <v>宁波市</v>
      </c>
      <c r="R867" s="4">
        <f t="shared" si="45"/>
        <v>11</v>
      </c>
      <c r="S867" s="4" t="str">
        <f t="shared" si="46"/>
        <v>浙江省</v>
      </c>
    </row>
    <row r="868" spans="14:19">
      <c r="N868" s="4">
        <v>867</v>
      </c>
      <c r="O868" s="4" t="s">
        <v>1751</v>
      </c>
      <c r="P868" s="4">
        <v>88</v>
      </c>
      <c r="Q868" s="4" t="str">
        <f t="shared" si="47"/>
        <v>宁波市</v>
      </c>
      <c r="R868" s="4">
        <f t="shared" si="45"/>
        <v>11</v>
      </c>
      <c r="S868" s="4" t="str">
        <f t="shared" si="46"/>
        <v>浙江省</v>
      </c>
    </row>
    <row r="869" spans="14:19">
      <c r="N869" s="4">
        <v>868</v>
      </c>
      <c r="O869" s="4" t="s">
        <v>1752</v>
      </c>
      <c r="P869" s="4">
        <v>89</v>
      </c>
      <c r="Q869" s="4" t="str">
        <f t="shared" si="47"/>
        <v>温州市</v>
      </c>
      <c r="R869" s="4">
        <f t="shared" si="45"/>
        <v>11</v>
      </c>
      <c r="S869" s="4" t="str">
        <f t="shared" si="46"/>
        <v>浙江省</v>
      </c>
    </row>
    <row r="870" spans="14:19">
      <c r="N870" s="4">
        <v>869</v>
      </c>
      <c r="O870" s="4" t="s">
        <v>1753</v>
      </c>
      <c r="P870" s="4">
        <v>89</v>
      </c>
      <c r="Q870" s="4" t="str">
        <f t="shared" si="47"/>
        <v>温州市</v>
      </c>
      <c r="R870" s="4">
        <f t="shared" si="45"/>
        <v>11</v>
      </c>
      <c r="S870" s="4" t="str">
        <f t="shared" si="46"/>
        <v>浙江省</v>
      </c>
    </row>
    <row r="871" spans="14:19">
      <c r="N871" s="4">
        <v>870</v>
      </c>
      <c r="O871" s="4" t="s">
        <v>1754</v>
      </c>
      <c r="P871" s="4">
        <v>89</v>
      </c>
      <c r="Q871" s="4" t="str">
        <f t="shared" si="47"/>
        <v>温州市</v>
      </c>
      <c r="R871" s="4">
        <f t="shared" si="45"/>
        <v>11</v>
      </c>
      <c r="S871" s="4" t="str">
        <f t="shared" si="46"/>
        <v>浙江省</v>
      </c>
    </row>
    <row r="872" spans="14:19">
      <c r="N872" s="4">
        <v>871</v>
      </c>
      <c r="O872" s="4" t="s">
        <v>1755</v>
      </c>
      <c r="P872" s="4">
        <v>89</v>
      </c>
      <c r="Q872" s="4" t="str">
        <f t="shared" si="47"/>
        <v>温州市</v>
      </c>
      <c r="R872" s="4">
        <f t="shared" si="45"/>
        <v>11</v>
      </c>
      <c r="S872" s="4" t="str">
        <f t="shared" si="46"/>
        <v>浙江省</v>
      </c>
    </row>
    <row r="873" spans="14:19">
      <c r="N873" s="4">
        <v>872</v>
      </c>
      <c r="O873" s="4" t="s">
        <v>1756</v>
      </c>
      <c r="P873" s="4">
        <v>89</v>
      </c>
      <c r="Q873" s="4" t="str">
        <f t="shared" si="47"/>
        <v>温州市</v>
      </c>
      <c r="R873" s="4">
        <f t="shared" si="45"/>
        <v>11</v>
      </c>
      <c r="S873" s="4" t="str">
        <f t="shared" si="46"/>
        <v>浙江省</v>
      </c>
    </row>
    <row r="874" spans="14:19">
      <c r="N874" s="4">
        <v>873</v>
      </c>
      <c r="O874" s="4" t="s">
        <v>1757</v>
      </c>
      <c r="P874" s="4">
        <v>89</v>
      </c>
      <c r="Q874" s="4" t="str">
        <f t="shared" si="47"/>
        <v>温州市</v>
      </c>
      <c r="R874" s="4">
        <f t="shared" si="45"/>
        <v>11</v>
      </c>
      <c r="S874" s="4" t="str">
        <f t="shared" si="46"/>
        <v>浙江省</v>
      </c>
    </row>
    <row r="875" spans="14:19">
      <c r="N875" s="4">
        <v>874</v>
      </c>
      <c r="O875" s="4" t="s">
        <v>1758</v>
      </c>
      <c r="P875" s="4">
        <v>89</v>
      </c>
      <c r="Q875" s="4" t="str">
        <f t="shared" si="47"/>
        <v>温州市</v>
      </c>
      <c r="R875" s="4">
        <f t="shared" si="45"/>
        <v>11</v>
      </c>
      <c r="S875" s="4" t="str">
        <f t="shared" si="46"/>
        <v>浙江省</v>
      </c>
    </row>
    <row r="876" spans="14:19">
      <c r="N876" s="4">
        <v>875</v>
      </c>
      <c r="O876" s="4" t="s">
        <v>1759</v>
      </c>
      <c r="P876" s="4">
        <v>89</v>
      </c>
      <c r="Q876" s="4" t="str">
        <f t="shared" si="47"/>
        <v>温州市</v>
      </c>
      <c r="R876" s="4">
        <f t="shared" si="45"/>
        <v>11</v>
      </c>
      <c r="S876" s="4" t="str">
        <f t="shared" si="46"/>
        <v>浙江省</v>
      </c>
    </row>
    <row r="877" spans="14:19">
      <c r="N877" s="4">
        <v>876</v>
      </c>
      <c r="O877" s="4" t="s">
        <v>1760</v>
      </c>
      <c r="P877" s="4">
        <v>89</v>
      </c>
      <c r="Q877" s="4" t="str">
        <f t="shared" si="47"/>
        <v>温州市</v>
      </c>
      <c r="R877" s="4">
        <f t="shared" si="45"/>
        <v>11</v>
      </c>
      <c r="S877" s="4" t="str">
        <f t="shared" si="46"/>
        <v>浙江省</v>
      </c>
    </row>
    <row r="878" spans="14:19">
      <c r="N878" s="4">
        <v>877</v>
      </c>
      <c r="O878" s="4" t="s">
        <v>1761</v>
      </c>
      <c r="P878" s="4">
        <v>89</v>
      </c>
      <c r="Q878" s="4" t="str">
        <f t="shared" si="47"/>
        <v>温州市</v>
      </c>
      <c r="R878" s="4">
        <f t="shared" si="45"/>
        <v>11</v>
      </c>
      <c r="S878" s="4" t="str">
        <f t="shared" si="46"/>
        <v>浙江省</v>
      </c>
    </row>
    <row r="879" spans="14:19">
      <c r="N879" s="4">
        <v>878</v>
      </c>
      <c r="O879" s="4" t="s">
        <v>1762</v>
      </c>
      <c r="P879" s="4">
        <v>89</v>
      </c>
      <c r="Q879" s="4" t="str">
        <f t="shared" si="47"/>
        <v>温州市</v>
      </c>
      <c r="R879" s="4">
        <f t="shared" si="45"/>
        <v>11</v>
      </c>
      <c r="S879" s="4" t="str">
        <f t="shared" si="46"/>
        <v>浙江省</v>
      </c>
    </row>
    <row r="880" spans="14:19">
      <c r="N880" s="4">
        <v>879</v>
      </c>
      <c r="O880" s="4" t="s">
        <v>1763</v>
      </c>
      <c r="P880" s="4">
        <v>90</v>
      </c>
      <c r="Q880" s="4" t="str">
        <f t="shared" si="47"/>
        <v>嘉兴市</v>
      </c>
      <c r="R880" s="4">
        <f t="shared" si="45"/>
        <v>11</v>
      </c>
      <c r="S880" s="4" t="str">
        <f t="shared" si="46"/>
        <v>浙江省</v>
      </c>
    </row>
    <row r="881" spans="14:19">
      <c r="N881" s="4">
        <v>880</v>
      </c>
      <c r="O881" s="4" t="s">
        <v>1764</v>
      </c>
      <c r="P881" s="4">
        <v>90</v>
      </c>
      <c r="Q881" s="4" t="str">
        <f t="shared" si="47"/>
        <v>嘉兴市</v>
      </c>
      <c r="R881" s="4">
        <f t="shared" si="45"/>
        <v>11</v>
      </c>
      <c r="S881" s="4" t="str">
        <f t="shared" si="46"/>
        <v>浙江省</v>
      </c>
    </row>
    <row r="882" spans="14:19">
      <c r="N882" s="4">
        <v>881</v>
      </c>
      <c r="O882" s="4" t="s">
        <v>1765</v>
      </c>
      <c r="P882" s="4">
        <v>90</v>
      </c>
      <c r="Q882" s="4" t="str">
        <f t="shared" si="47"/>
        <v>嘉兴市</v>
      </c>
      <c r="R882" s="4">
        <f t="shared" si="45"/>
        <v>11</v>
      </c>
      <c r="S882" s="4" t="str">
        <f t="shared" si="46"/>
        <v>浙江省</v>
      </c>
    </row>
    <row r="883" spans="14:19">
      <c r="N883" s="4">
        <v>882</v>
      </c>
      <c r="O883" s="4" t="s">
        <v>1766</v>
      </c>
      <c r="P883" s="4">
        <v>90</v>
      </c>
      <c r="Q883" s="4" t="str">
        <f t="shared" si="47"/>
        <v>嘉兴市</v>
      </c>
      <c r="R883" s="4">
        <f t="shared" si="45"/>
        <v>11</v>
      </c>
      <c r="S883" s="4" t="str">
        <f t="shared" si="46"/>
        <v>浙江省</v>
      </c>
    </row>
    <row r="884" spans="14:19">
      <c r="N884" s="4">
        <v>883</v>
      </c>
      <c r="O884" s="4" t="s">
        <v>1767</v>
      </c>
      <c r="P884" s="4">
        <v>90</v>
      </c>
      <c r="Q884" s="4" t="str">
        <f t="shared" si="47"/>
        <v>嘉兴市</v>
      </c>
      <c r="R884" s="4">
        <f t="shared" si="45"/>
        <v>11</v>
      </c>
      <c r="S884" s="4" t="str">
        <f t="shared" si="46"/>
        <v>浙江省</v>
      </c>
    </row>
    <row r="885" spans="14:19">
      <c r="N885" s="4">
        <v>884</v>
      </c>
      <c r="O885" s="4" t="s">
        <v>1768</v>
      </c>
      <c r="P885" s="4">
        <v>90</v>
      </c>
      <c r="Q885" s="4" t="str">
        <f t="shared" si="47"/>
        <v>嘉兴市</v>
      </c>
      <c r="R885" s="4">
        <f t="shared" si="45"/>
        <v>11</v>
      </c>
      <c r="S885" s="4" t="str">
        <f t="shared" si="46"/>
        <v>浙江省</v>
      </c>
    </row>
    <row r="886" spans="14:19">
      <c r="N886" s="4">
        <v>885</v>
      </c>
      <c r="O886" s="4" t="s">
        <v>1769</v>
      </c>
      <c r="P886" s="4">
        <v>90</v>
      </c>
      <c r="Q886" s="4" t="str">
        <f t="shared" si="47"/>
        <v>嘉兴市</v>
      </c>
      <c r="R886" s="4">
        <f t="shared" si="45"/>
        <v>11</v>
      </c>
      <c r="S886" s="4" t="str">
        <f t="shared" si="46"/>
        <v>浙江省</v>
      </c>
    </row>
    <row r="887" spans="14:19">
      <c r="N887" s="4">
        <v>886</v>
      </c>
      <c r="O887" s="4" t="s">
        <v>1770</v>
      </c>
      <c r="P887" s="4">
        <v>91</v>
      </c>
      <c r="Q887" s="4" t="str">
        <f t="shared" si="47"/>
        <v>湖州市</v>
      </c>
      <c r="R887" s="4">
        <f t="shared" si="45"/>
        <v>11</v>
      </c>
      <c r="S887" s="4" t="str">
        <f t="shared" si="46"/>
        <v>浙江省</v>
      </c>
    </row>
    <row r="888" spans="14:19">
      <c r="N888" s="4">
        <v>887</v>
      </c>
      <c r="O888" s="4" t="s">
        <v>1771</v>
      </c>
      <c r="P888" s="4">
        <v>91</v>
      </c>
      <c r="Q888" s="4" t="str">
        <f t="shared" si="47"/>
        <v>湖州市</v>
      </c>
      <c r="R888" s="4">
        <f t="shared" si="45"/>
        <v>11</v>
      </c>
      <c r="S888" s="4" t="str">
        <f t="shared" si="46"/>
        <v>浙江省</v>
      </c>
    </row>
    <row r="889" spans="14:19">
      <c r="N889" s="4">
        <v>888</v>
      </c>
      <c r="O889" s="4" t="s">
        <v>1772</v>
      </c>
      <c r="P889" s="4">
        <v>91</v>
      </c>
      <c r="Q889" s="4" t="str">
        <f t="shared" si="47"/>
        <v>湖州市</v>
      </c>
      <c r="R889" s="4">
        <f t="shared" si="45"/>
        <v>11</v>
      </c>
      <c r="S889" s="4" t="str">
        <f t="shared" si="46"/>
        <v>浙江省</v>
      </c>
    </row>
    <row r="890" spans="14:19">
      <c r="N890" s="4">
        <v>889</v>
      </c>
      <c r="O890" s="4" t="s">
        <v>1773</v>
      </c>
      <c r="P890" s="4">
        <v>91</v>
      </c>
      <c r="Q890" s="4" t="str">
        <f t="shared" si="47"/>
        <v>湖州市</v>
      </c>
      <c r="R890" s="4">
        <f t="shared" si="45"/>
        <v>11</v>
      </c>
      <c r="S890" s="4" t="str">
        <f t="shared" si="46"/>
        <v>浙江省</v>
      </c>
    </row>
    <row r="891" spans="14:19">
      <c r="N891" s="4">
        <v>890</v>
      </c>
      <c r="O891" s="4" t="s">
        <v>1774</v>
      </c>
      <c r="P891" s="4">
        <v>91</v>
      </c>
      <c r="Q891" s="4" t="str">
        <f t="shared" si="47"/>
        <v>湖州市</v>
      </c>
      <c r="R891" s="4">
        <f t="shared" si="45"/>
        <v>11</v>
      </c>
      <c r="S891" s="4" t="str">
        <f t="shared" si="46"/>
        <v>浙江省</v>
      </c>
    </row>
    <row r="892" spans="14:19">
      <c r="N892" s="4">
        <v>891</v>
      </c>
      <c r="O892" s="4" t="s">
        <v>1775</v>
      </c>
      <c r="P892" s="4">
        <v>92</v>
      </c>
      <c r="Q892" s="4" t="str">
        <f t="shared" si="47"/>
        <v>绍兴市</v>
      </c>
      <c r="R892" s="4">
        <f t="shared" si="45"/>
        <v>11</v>
      </c>
      <c r="S892" s="4" t="str">
        <f t="shared" si="46"/>
        <v>浙江省</v>
      </c>
    </row>
    <row r="893" spans="14:19">
      <c r="N893" s="4">
        <v>892</v>
      </c>
      <c r="O893" s="4" t="s">
        <v>1776</v>
      </c>
      <c r="P893" s="4">
        <v>92</v>
      </c>
      <c r="Q893" s="4" t="str">
        <f t="shared" si="47"/>
        <v>绍兴市</v>
      </c>
      <c r="R893" s="4">
        <f t="shared" si="45"/>
        <v>11</v>
      </c>
      <c r="S893" s="4" t="str">
        <f t="shared" si="46"/>
        <v>浙江省</v>
      </c>
    </row>
    <row r="894" spans="14:19">
      <c r="N894" s="4">
        <v>893</v>
      </c>
      <c r="O894" s="4" t="s">
        <v>1777</v>
      </c>
      <c r="P894" s="4">
        <v>92</v>
      </c>
      <c r="Q894" s="4" t="str">
        <f t="shared" si="47"/>
        <v>绍兴市</v>
      </c>
      <c r="R894" s="4">
        <f t="shared" si="45"/>
        <v>11</v>
      </c>
      <c r="S894" s="4" t="str">
        <f t="shared" si="46"/>
        <v>浙江省</v>
      </c>
    </row>
    <row r="895" spans="14:19">
      <c r="N895" s="4">
        <v>894</v>
      </c>
      <c r="O895" s="4" t="s">
        <v>1778</v>
      </c>
      <c r="P895" s="4">
        <v>92</v>
      </c>
      <c r="Q895" s="4" t="str">
        <f t="shared" si="47"/>
        <v>绍兴市</v>
      </c>
      <c r="R895" s="4">
        <f t="shared" si="45"/>
        <v>11</v>
      </c>
      <c r="S895" s="4" t="str">
        <f t="shared" si="46"/>
        <v>浙江省</v>
      </c>
    </row>
    <row r="896" spans="14:19">
      <c r="N896" s="4">
        <v>895</v>
      </c>
      <c r="O896" s="4" t="s">
        <v>1779</v>
      </c>
      <c r="P896" s="4">
        <v>92</v>
      </c>
      <c r="Q896" s="4" t="str">
        <f t="shared" si="47"/>
        <v>绍兴市</v>
      </c>
      <c r="R896" s="4">
        <f t="shared" si="45"/>
        <v>11</v>
      </c>
      <c r="S896" s="4" t="str">
        <f t="shared" si="46"/>
        <v>浙江省</v>
      </c>
    </row>
    <row r="897" spans="14:19">
      <c r="N897" s="4">
        <v>896</v>
      </c>
      <c r="O897" s="4" t="s">
        <v>1780</v>
      </c>
      <c r="P897" s="4">
        <v>92</v>
      </c>
      <c r="Q897" s="4" t="str">
        <f t="shared" si="47"/>
        <v>绍兴市</v>
      </c>
      <c r="R897" s="4">
        <f t="shared" si="45"/>
        <v>11</v>
      </c>
      <c r="S897" s="4" t="str">
        <f t="shared" si="46"/>
        <v>浙江省</v>
      </c>
    </row>
    <row r="898" spans="14:19">
      <c r="N898" s="4">
        <v>897</v>
      </c>
      <c r="O898" s="4" t="s">
        <v>1781</v>
      </c>
      <c r="P898" s="4">
        <v>93</v>
      </c>
      <c r="Q898" s="4" t="str">
        <f t="shared" si="47"/>
        <v>金华市</v>
      </c>
      <c r="R898" s="4">
        <f t="shared" ref="R898:R961" si="48">VLOOKUP(P898,$I$2:$M$346,3,FALSE)</f>
        <v>11</v>
      </c>
      <c r="S898" s="4" t="str">
        <f t="shared" ref="S898:S961" si="49">VLOOKUP(P898,$I$2:$M$346,4,FALSE)</f>
        <v>浙江省</v>
      </c>
    </row>
    <row r="899" spans="14:19">
      <c r="N899" s="4">
        <v>898</v>
      </c>
      <c r="O899" s="4" t="s">
        <v>1782</v>
      </c>
      <c r="P899" s="4">
        <v>93</v>
      </c>
      <c r="Q899" s="4" t="str">
        <f t="shared" ref="Q899:Q962" si="50">VLOOKUP(P899,$I$2:$J$346,2,FALSE)</f>
        <v>金华市</v>
      </c>
      <c r="R899" s="4">
        <f t="shared" si="48"/>
        <v>11</v>
      </c>
      <c r="S899" s="4" t="str">
        <f t="shared" si="49"/>
        <v>浙江省</v>
      </c>
    </row>
    <row r="900" spans="14:19">
      <c r="N900" s="4">
        <v>899</v>
      </c>
      <c r="O900" s="4" t="s">
        <v>1783</v>
      </c>
      <c r="P900" s="4">
        <v>93</v>
      </c>
      <c r="Q900" s="4" t="str">
        <f t="shared" si="50"/>
        <v>金华市</v>
      </c>
      <c r="R900" s="4">
        <f t="shared" si="48"/>
        <v>11</v>
      </c>
      <c r="S900" s="4" t="str">
        <f t="shared" si="49"/>
        <v>浙江省</v>
      </c>
    </row>
    <row r="901" spans="14:19">
      <c r="N901" s="4">
        <v>900</v>
      </c>
      <c r="O901" s="4" t="s">
        <v>1784</v>
      </c>
      <c r="P901" s="4">
        <v>93</v>
      </c>
      <c r="Q901" s="4" t="str">
        <f t="shared" si="50"/>
        <v>金华市</v>
      </c>
      <c r="R901" s="4">
        <f t="shared" si="48"/>
        <v>11</v>
      </c>
      <c r="S901" s="4" t="str">
        <f t="shared" si="49"/>
        <v>浙江省</v>
      </c>
    </row>
    <row r="902" spans="14:19">
      <c r="N902" s="4">
        <v>901</v>
      </c>
      <c r="O902" s="4" t="s">
        <v>1785</v>
      </c>
      <c r="P902" s="4">
        <v>93</v>
      </c>
      <c r="Q902" s="4" t="str">
        <f t="shared" si="50"/>
        <v>金华市</v>
      </c>
      <c r="R902" s="4">
        <f t="shared" si="48"/>
        <v>11</v>
      </c>
      <c r="S902" s="4" t="str">
        <f t="shared" si="49"/>
        <v>浙江省</v>
      </c>
    </row>
    <row r="903" spans="14:19">
      <c r="N903" s="4">
        <v>902</v>
      </c>
      <c r="O903" s="4" t="s">
        <v>1786</v>
      </c>
      <c r="P903" s="4">
        <v>93</v>
      </c>
      <c r="Q903" s="4" t="str">
        <f t="shared" si="50"/>
        <v>金华市</v>
      </c>
      <c r="R903" s="4">
        <f t="shared" si="48"/>
        <v>11</v>
      </c>
      <c r="S903" s="4" t="str">
        <f t="shared" si="49"/>
        <v>浙江省</v>
      </c>
    </row>
    <row r="904" spans="14:19">
      <c r="N904" s="4">
        <v>903</v>
      </c>
      <c r="O904" s="4" t="s">
        <v>1787</v>
      </c>
      <c r="P904" s="4">
        <v>93</v>
      </c>
      <c r="Q904" s="4" t="str">
        <f t="shared" si="50"/>
        <v>金华市</v>
      </c>
      <c r="R904" s="4">
        <f t="shared" si="48"/>
        <v>11</v>
      </c>
      <c r="S904" s="4" t="str">
        <f t="shared" si="49"/>
        <v>浙江省</v>
      </c>
    </row>
    <row r="905" spans="14:19">
      <c r="N905" s="4">
        <v>904</v>
      </c>
      <c r="O905" s="4" t="s">
        <v>1788</v>
      </c>
      <c r="P905" s="4">
        <v>93</v>
      </c>
      <c r="Q905" s="4" t="str">
        <f t="shared" si="50"/>
        <v>金华市</v>
      </c>
      <c r="R905" s="4">
        <f t="shared" si="48"/>
        <v>11</v>
      </c>
      <c r="S905" s="4" t="str">
        <f t="shared" si="49"/>
        <v>浙江省</v>
      </c>
    </row>
    <row r="906" spans="14:19">
      <c r="N906" s="4">
        <v>905</v>
      </c>
      <c r="O906" s="4" t="s">
        <v>1789</v>
      </c>
      <c r="P906" s="4">
        <v>93</v>
      </c>
      <c r="Q906" s="4" t="str">
        <f t="shared" si="50"/>
        <v>金华市</v>
      </c>
      <c r="R906" s="4">
        <f t="shared" si="48"/>
        <v>11</v>
      </c>
      <c r="S906" s="4" t="str">
        <f t="shared" si="49"/>
        <v>浙江省</v>
      </c>
    </row>
    <row r="907" spans="14:19">
      <c r="N907" s="4">
        <v>906</v>
      </c>
      <c r="O907" s="4" t="s">
        <v>1790</v>
      </c>
      <c r="P907" s="4">
        <v>94</v>
      </c>
      <c r="Q907" s="4" t="str">
        <f t="shared" si="50"/>
        <v>衢州市</v>
      </c>
      <c r="R907" s="4">
        <f t="shared" si="48"/>
        <v>11</v>
      </c>
      <c r="S907" s="4" t="str">
        <f t="shared" si="49"/>
        <v>浙江省</v>
      </c>
    </row>
    <row r="908" spans="14:19">
      <c r="N908" s="4">
        <v>907</v>
      </c>
      <c r="O908" s="4" t="s">
        <v>1791</v>
      </c>
      <c r="P908" s="4">
        <v>94</v>
      </c>
      <c r="Q908" s="4" t="str">
        <f t="shared" si="50"/>
        <v>衢州市</v>
      </c>
      <c r="R908" s="4">
        <f t="shared" si="48"/>
        <v>11</v>
      </c>
      <c r="S908" s="4" t="str">
        <f t="shared" si="49"/>
        <v>浙江省</v>
      </c>
    </row>
    <row r="909" spans="14:19">
      <c r="N909" s="4">
        <v>908</v>
      </c>
      <c r="O909" s="4" t="s">
        <v>1792</v>
      </c>
      <c r="P909" s="4">
        <v>94</v>
      </c>
      <c r="Q909" s="4" t="str">
        <f t="shared" si="50"/>
        <v>衢州市</v>
      </c>
      <c r="R909" s="4">
        <f t="shared" si="48"/>
        <v>11</v>
      </c>
      <c r="S909" s="4" t="str">
        <f t="shared" si="49"/>
        <v>浙江省</v>
      </c>
    </row>
    <row r="910" spans="14:19">
      <c r="N910" s="4">
        <v>909</v>
      </c>
      <c r="O910" s="4" t="s">
        <v>1793</v>
      </c>
      <c r="P910" s="4">
        <v>94</v>
      </c>
      <c r="Q910" s="4" t="str">
        <f t="shared" si="50"/>
        <v>衢州市</v>
      </c>
      <c r="R910" s="4">
        <f t="shared" si="48"/>
        <v>11</v>
      </c>
      <c r="S910" s="4" t="str">
        <f t="shared" si="49"/>
        <v>浙江省</v>
      </c>
    </row>
    <row r="911" spans="14:19">
      <c r="N911" s="4">
        <v>910</v>
      </c>
      <c r="O911" s="4" t="s">
        <v>1794</v>
      </c>
      <c r="P911" s="4">
        <v>94</v>
      </c>
      <c r="Q911" s="4" t="str">
        <f t="shared" si="50"/>
        <v>衢州市</v>
      </c>
      <c r="R911" s="4">
        <f t="shared" si="48"/>
        <v>11</v>
      </c>
      <c r="S911" s="4" t="str">
        <f t="shared" si="49"/>
        <v>浙江省</v>
      </c>
    </row>
    <row r="912" spans="14:19">
      <c r="N912" s="4">
        <v>911</v>
      </c>
      <c r="O912" s="4" t="s">
        <v>1795</v>
      </c>
      <c r="P912" s="4">
        <v>94</v>
      </c>
      <c r="Q912" s="4" t="str">
        <f t="shared" si="50"/>
        <v>衢州市</v>
      </c>
      <c r="R912" s="4">
        <f t="shared" si="48"/>
        <v>11</v>
      </c>
      <c r="S912" s="4" t="str">
        <f t="shared" si="49"/>
        <v>浙江省</v>
      </c>
    </row>
    <row r="913" spans="14:19">
      <c r="N913" s="4">
        <v>912</v>
      </c>
      <c r="O913" s="4" t="s">
        <v>1796</v>
      </c>
      <c r="P913" s="4">
        <v>95</v>
      </c>
      <c r="Q913" s="4" t="str">
        <f t="shared" si="50"/>
        <v>舟山市</v>
      </c>
      <c r="R913" s="4">
        <f t="shared" si="48"/>
        <v>11</v>
      </c>
      <c r="S913" s="4" t="str">
        <f t="shared" si="49"/>
        <v>浙江省</v>
      </c>
    </row>
    <row r="914" spans="14:19">
      <c r="N914" s="4">
        <v>913</v>
      </c>
      <c r="O914" s="4" t="s">
        <v>1612</v>
      </c>
      <c r="P914" s="4">
        <v>95</v>
      </c>
      <c r="Q914" s="4" t="str">
        <f t="shared" si="50"/>
        <v>舟山市</v>
      </c>
      <c r="R914" s="4">
        <f t="shared" si="48"/>
        <v>11</v>
      </c>
      <c r="S914" s="4" t="str">
        <f t="shared" si="49"/>
        <v>浙江省</v>
      </c>
    </row>
    <row r="915" spans="14:19">
      <c r="N915" s="4">
        <v>914</v>
      </c>
      <c r="O915" s="4" t="s">
        <v>1797</v>
      </c>
      <c r="P915" s="4">
        <v>95</v>
      </c>
      <c r="Q915" s="4" t="str">
        <f t="shared" si="50"/>
        <v>舟山市</v>
      </c>
      <c r="R915" s="4">
        <f t="shared" si="48"/>
        <v>11</v>
      </c>
      <c r="S915" s="4" t="str">
        <f t="shared" si="49"/>
        <v>浙江省</v>
      </c>
    </row>
    <row r="916" spans="14:19">
      <c r="N916" s="4">
        <v>915</v>
      </c>
      <c r="O916" s="4" t="s">
        <v>1798</v>
      </c>
      <c r="P916" s="4">
        <v>95</v>
      </c>
      <c r="Q916" s="4" t="str">
        <f t="shared" si="50"/>
        <v>舟山市</v>
      </c>
      <c r="R916" s="4">
        <f t="shared" si="48"/>
        <v>11</v>
      </c>
      <c r="S916" s="4" t="str">
        <f t="shared" si="49"/>
        <v>浙江省</v>
      </c>
    </row>
    <row r="917" spans="14:19">
      <c r="N917" s="4">
        <v>916</v>
      </c>
      <c r="O917" s="4" t="s">
        <v>1799</v>
      </c>
      <c r="P917" s="4">
        <v>96</v>
      </c>
      <c r="Q917" s="4" t="str">
        <f t="shared" si="50"/>
        <v>台州市</v>
      </c>
      <c r="R917" s="4">
        <f t="shared" si="48"/>
        <v>11</v>
      </c>
      <c r="S917" s="4" t="str">
        <f t="shared" si="49"/>
        <v>浙江省</v>
      </c>
    </row>
    <row r="918" spans="14:19">
      <c r="N918" s="4">
        <v>917</v>
      </c>
      <c r="O918" s="4" t="s">
        <v>1800</v>
      </c>
      <c r="P918" s="4">
        <v>96</v>
      </c>
      <c r="Q918" s="4" t="str">
        <f t="shared" si="50"/>
        <v>台州市</v>
      </c>
      <c r="R918" s="4">
        <f t="shared" si="48"/>
        <v>11</v>
      </c>
      <c r="S918" s="4" t="str">
        <f t="shared" si="49"/>
        <v>浙江省</v>
      </c>
    </row>
    <row r="919" spans="14:19">
      <c r="N919" s="4">
        <v>918</v>
      </c>
      <c r="O919" s="4" t="s">
        <v>1801</v>
      </c>
      <c r="P919" s="4">
        <v>96</v>
      </c>
      <c r="Q919" s="4" t="str">
        <f t="shared" si="50"/>
        <v>台州市</v>
      </c>
      <c r="R919" s="4">
        <f t="shared" si="48"/>
        <v>11</v>
      </c>
      <c r="S919" s="4" t="str">
        <f t="shared" si="49"/>
        <v>浙江省</v>
      </c>
    </row>
    <row r="920" spans="14:19">
      <c r="N920" s="4">
        <v>919</v>
      </c>
      <c r="O920" s="4" t="s">
        <v>1802</v>
      </c>
      <c r="P920" s="4">
        <v>96</v>
      </c>
      <c r="Q920" s="4" t="str">
        <f t="shared" si="50"/>
        <v>台州市</v>
      </c>
      <c r="R920" s="4">
        <f t="shared" si="48"/>
        <v>11</v>
      </c>
      <c r="S920" s="4" t="str">
        <f t="shared" si="49"/>
        <v>浙江省</v>
      </c>
    </row>
    <row r="921" spans="14:19">
      <c r="N921" s="4">
        <v>920</v>
      </c>
      <c r="O921" s="4" t="s">
        <v>1803</v>
      </c>
      <c r="P921" s="4">
        <v>96</v>
      </c>
      <c r="Q921" s="4" t="str">
        <f t="shared" si="50"/>
        <v>台州市</v>
      </c>
      <c r="R921" s="4">
        <f t="shared" si="48"/>
        <v>11</v>
      </c>
      <c r="S921" s="4" t="str">
        <f t="shared" si="49"/>
        <v>浙江省</v>
      </c>
    </row>
    <row r="922" spans="14:19">
      <c r="N922" s="4">
        <v>921</v>
      </c>
      <c r="O922" s="4" t="s">
        <v>1804</v>
      </c>
      <c r="P922" s="4">
        <v>96</v>
      </c>
      <c r="Q922" s="4" t="str">
        <f t="shared" si="50"/>
        <v>台州市</v>
      </c>
      <c r="R922" s="4">
        <f t="shared" si="48"/>
        <v>11</v>
      </c>
      <c r="S922" s="4" t="str">
        <f t="shared" si="49"/>
        <v>浙江省</v>
      </c>
    </row>
    <row r="923" spans="14:19">
      <c r="N923" s="4">
        <v>922</v>
      </c>
      <c r="O923" s="4" t="s">
        <v>1805</v>
      </c>
      <c r="P923" s="4">
        <v>96</v>
      </c>
      <c r="Q923" s="4" t="str">
        <f t="shared" si="50"/>
        <v>台州市</v>
      </c>
      <c r="R923" s="4">
        <f t="shared" si="48"/>
        <v>11</v>
      </c>
      <c r="S923" s="4" t="str">
        <f t="shared" si="49"/>
        <v>浙江省</v>
      </c>
    </row>
    <row r="924" spans="14:19">
      <c r="N924" s="4">
        <v>923</v>
      </c>
      <c r="O924" s="4" t="s">
        <v>1806</v>
      </c>
      <c r="P924" s="4">
        <v>96</v>
      </c>
      <c r="Q924" s="4" t="str">
        <f t="shared" si="50"/>
        <v>台州市</v>
      </c>
      <c r="R924" s="4">
        <f t="shared" si="48"/>
        <v>11</v>
      </c>
      <c r="S924" s="4" t="str">
        <f t="shared" si="49"/>
        <v>浙江省</v>
      </c>
    </row>
    <row r="925" spans="14:19">
      <c r="N925" s="4">
        <v>924</v>
      </c>
      <c r="O925" s="4" t="s">
        <v>1807</v>
      </c>
      <c r="P925" s="4">
        <v>96</v>
      </c>
      <c r="Q925" s="4" t="str">
        <f t="shared" si="50"/>
        <v>台州市</v>
      </c>
      <c r="R925" s="4">
        <f t="shared" si="48"/>
        <v>11</v>
      </c>
      <c r="S925" s="4" t="str">
        <f t="shared" si="49"/>
        <v>浙江省</v>
      </c>
    </row>
    <row r="926" spans="14:19">
      <c r="N926" s="4">
        <v>925</v>
      </c>
      <c r="O926" s="4" t="s">
        <v>1808</v>
      </c>
      <c r="P926" s="4">
        <v>97</v>
      </c>
      <c r="Q926" s="4" t="str">
        <f t="shared" si="50"/>
        <v>丽水市</v>
      </c>
      <c r="R926" s="4">
        <f t="shared" si="48"/>
        <v>11</v>
      </c>
      <c r="S926" s="4" t="str">
        <f t="shared" si="49"/>
        <v>浙江省</v>
      </c>
    </row>
    <row r="927" spans="14:19">
      <c r="N927" s="4">
        <v>926</v>
      </c>
      <c r="O927" s="4" t="s">
        <v>1809</v>
      </c>
      <c r="P927" s="4">
        <v>97</v>
      </c>
      <c r="Q927" s="4" t="str">
        <f t="shared" si="50"/>
        <v>丽水市</v>
      </c>
      <c r="R927" s="4">
        <f t="shared" si="48"/>
        <v>11</v>
      </c>
      <c r="S927" s="4" t="str">
        <f t="shared" si="49"/>
        <v>浙江省</v>
      </c>
    </row>
    <row r="928" spans="14:19">
      <c r="N928" s="4">
        <v>927</v>
      </c>
      <c r="O928" s="4" t="s">
        <v>1810</v>
      </c>
      <c r="P928" s="4">
        <v>97</v>
      </c>
      <c r="Q928" s="4" t="str">
        <f t="shared" si="50"/>
        <v>丽水市</v>
      </c>
      <c r="R928" s="4">
        <f t="shared" si="48"/>
        <v>11</v>
      </c>
      <c r="S928" s="4" t="str">
        <f t="shared" si="49"/>
        <v>浙江省</v>
      </c>
    </row>
    <row r="929" spans="14:19">
      <c r="N929" s="4">
        <v>928</v>
      </c>
      <c r="O929" s="4" t="s">
        <v>1811</v>
      </c>
      <c r="P929" s="4">
        <v>97</v>
      </c>
      <c r="Q929" s="4" t="str">
        <f t="shared" si="50"/>
        <v>丽水市</v>
      </c>
      <c r="R929" s="4">
        <f t="shared" si="48"/>
        <v>11</v>
      </c>
      <c r="S929" s="4" t="str">
        <f t="shared" si="49"/>
        <v>浙江省</v>
      </c>
    </row>
    <row r="930" spans="14:19">
      <c r="N930" s="4">
        <v>929</v>
      </c>
      <c r="O930" s="4" t="s">
        <v>1812</v>
      </c>
      <c r="P930" s="4">
        <v>97</v>
      </c>
      <c r="Q930" s="4" t="str">
        <f t="shared" si="50"/>
        <v>丽水市</v>
      </c>
      <c r="R930" s="4">
        <f t="shared" si="48"/>
        <v>11</v>
      </c>
      <c r="S930" s="4" t="str">
        <f t="shared" si="49"/>
        <v>浙江省</v>
      </c>
    </row>
    <row r="931" spans="14:19">
      <c r="N931" s="4">
        <v>930</v>
      </c>
      <c r="O931" s="4" t="s">
        <v>1813</v>
      </c>
      <c r="P931" s="4">
        <v>97</v>
      </c>
      <c r="Q931" s="4" t="str">
        <f t="shared" si="50"/>
        <v>丽水市</v>
      </c>
      <c r="R931" s="4">
        <f t="shared" si="48"/>
        <v>11</v>
      </c>
      <c r="S931" s="4" t="str">
        <f t="shared" si="49"/>
        <v>浙江省</v>
      </c>
    </row>
    <row r="932" spans="14:19">
      <c r="N932" s="4">
        <v>931</v>
      </c>
      <c r="O932" s="4" t="s">
        <v>1814</v>
      </c>
      <c r="P932" s="4">
        <v>97</v>
      </c>
      <c r="Q932" s="4" t="str">
        <f t="shared" si="50"/>
        <v>丽水市</v>
      </c>
      <c r="R932" s="4">
        <f t="shared" si="48"/>
        <v>11</v>
      </c>
      <c r="S932" s="4" t="str">
        <f t="shared" si="49"/>
        <v>浙江省</v>
      </c>
    </row>
    <row r="933" spans="14:19">
      <c r="N933" s="4">
        <v>932</v>
      </c>
      <c r="O933" s="4" t="s">
        <v>1815</v>
      </c>
      <c r="P933" s="4">
        <v>97</v>
      </c>
      <c r="Q933" s="4" t="str">
        <f t="shared" si="50"/>
        <v>丽水市</v>
      </c>
      <c r="R933" s="4">
        <f t="shared" si="48"/>
        <v>11</v>
      </c>
      <c r="S933" s="4" t="str">
        <f t="shared" si="49"/>
        <v>浙江省</v>
      </c>
    </row>
    <row r="934" spans="14:19">
      <c r="N934" s="4">
        <v>933</v>
      </c>
      <c r="O934" s="4" t="s">
        <v>1816</v>
      </c>
      <c r="P934" s="4">
        <v>97</v>
      </c>
      <c r="Q934" s="4" t="str">
        <f t="shared" si="50"/>
        <v>丽水市</v>
      </c>
      <c r="R934" s="4">
        <f t="shared" si="48"/>
        <v>11</v>
      </c>
      <c r="S934" s="4" t="str">
        <f t="shared" si="49"/>
        <v>浙江省</v>
      </c>
    </row>
    <row r="935" spans="14:19">
      <c r="N935" s="4">
        <v>934</v>
      </c>
      <c r="O935" s="4" t="s">
        <v>1817</v>
      </c>
      <c r="P935" s="4">
        <v>98</v>
      </c>
      <c r="Q935" s="4" t="str">
        <f t="shared" si="50"/>
        <v>合肥市</v>
      </c>
      <c r="R935" s="4">
        <f t="shared" si="48"/>
        <v>12</v>
      </c>
      <c r="S935" s="4" t="str">
        <f t="shared" si="49"/>
        <v>安徽省</v>
      </c>
    </row>
    <row r="936" spans="14:19">
      <c r="N936" s="4">
        <v>935</v>
      </c>
      <c r="O936" s="4" t="s">
        <v>1818</v>
      </c>
      <c r="P936" s="4">
        <v>98</v>
      </c>
      <c r="Q936" s="4" t="str">
        <f t="shared" si="50"/>
        <v>合肥市</v>
      </c>
      <c r="R936" s="4">
        <f t="shared" si="48"/>
        <v>12</v>
      </c>
      <c r="S936" s="4" t="str">
        <f t="shared" si="49"/>
        <v>安徽省</v>
      </c>
    </row>
    <row r="937" spans="14:19">
      <c r="N937" s="4">
        <v>936</v>
      </c>
      <c r="O937" s="4" t="s">
        <v>1819</v>
      </c>
      <c r="P937" s="4">
        <v>98</v>
      </c>
      <c r="Q937" s="4" t="str">
        <f t="shared" si="50"/>
        <v>合肥市</v>
      </c>
      <c r="R937" s="4">
        <f t="shared" si="48"/>
        <v>12</v>
      </c>
      <c r="S937" s="4" t="str">
        <f t="shared" si="49"/>
        <v>安徽省</v>
      </c>
    </row>
    <row r="938" spans="14:19">
      <c r="N938" s="4">
        <v>937</v>
      </c>
      <c r="O938" s="4" t="s">
        <v>1820</v>
      </c>
      <c r="P938" s="4">
        <v>98</v>
      </c>
      <c r="Q938" s="4" t="str">
        <f t="shared" si="50"/>
        <v>合肥市</v>
      </c>
      <c r="R938" s="4">
        <f t="shared" si="48"/>
        <v>12</v>
      </c>
      <c r="S938" s="4" t="str">
        <f t="shared" si="49"/>
        <v>安徽省</v>
      </c>
    </row>
    <row r="939" spans="14:19">
      <c r="N939" s="4">
        <v>938</v>
      </c>
      <c r="O939" s="4" t="s">
        <v>1821</v>
      </c>
      <c r="P939" s="4">
        <v>98</v>
      </c>
      <c r="Q939" s="4" t="str">
        <f t="shared" si="50"/>
        <v>合肥市</v>
      </c>
      <c r="R939" s="4">
        <f t="shared" si="48"/>
        <v>12</v>
      </c>
      <c r="S939" s="4" t="str">
        <f t="shared" si="49"/>
        <v>安徽省</v>
      </c>
    </row>
    <row r="940" spans="14:19">
      <c r="N940" s="4">
        <v>939</v>
      </c>
      <c r="O940" s="4" t="s">
        <v>1822</v>
      </c>
      <c r="P940" s="4">
        <v>98</v>
      </c>
      <c r="Q940" s="4" t="str">
        <f t="shared" si="50"/>
        <v>合肥市</v>
      </c>
      <c r="R940" s="4">
        <f t="shared" si="48"/>
        <v>12</v>
      </c>
      <c r="S940" s="4" t="str">
        <f t="shared" si="49"/>
        <v>安徽省</v>
      </c>
    </row>
    <row r="941" spans="14:19">
      <c r="N941" s="4">
        <v>940</v>
      </c>
      <c r="O941" s="4" t="s">
        <v>1823</v>
      </c>
      <c r="P941" s="4">
        <v>98</v>
      </c>
      <c r="Q941" s="4" t="str">
        <f t="shared" si="50"/>
        <v>合肥市</v>
      </c>
      <c r="R941" s="4">
        <f t="shared" si="48"/>
        <v>12</v>
      </c>
      <c r="S941" s="4" t="str">
        <f t="shared" si="49"/>
        <v>安徽省</v>
      </c>
    </row>
    <row r="942" spans="14:19">
      <c r="N942" s="4">
        <v>941</v>
      </c>
      <c r="O942" s="4" t="s">
        <v>1824</v>
      </c>
      <c r="P942" s="4">
        <v>99</v>
      </c>
      <c r="Q942" s="4" t="str">
        <f t="shared" si="50"/>
        <v>芜湖市</v>
      </c>
      <c r="R942" s="4">
        <f t="shared" si="48"/>
        <v>12</v>
      </c>
      <c r="S942" s="4" t="str">
        <f t="shared" si="49"/>
        <v>安徽省</v>
      </c>
    </row>
    <row r="943" spans="14:19">
      <c r="N943" s="4">
        <v>942</v>
      </c>
      <c r="O943" s="4" t="s">
        <v>1825</v>
      </c>
      <c r="P943" s="4">
        <v>99</v>
      </c>
      <c r="Q943" s="4" t="str">
        <f t="shared" si="50"/>
        <v>芜湖市</v>
      </c>
      <c r="R943" s="4">
        <f t="shared" si="48"/>
        <v>12</v>
      </c>
      <c r="S943" s="4" t="str">
        <f t="shared" si="49"/>
        <v>安徽省</v>
      </c>
    </row>
    <row r="944" spans="14:19">
      <c r="N944" s="4">
        <v>943</v>
      </c>
      <c r="O944" s="4" t="s">
        <v>1826</v>
      </c>
      <c r="P944" s="4">
        <v>99</v>
      </c>
      <c r="Q944" s="4" t="str">
        <f t="shared" si="50"/>
        <v>芜湖市</v>
      </c>
      <c r="R944" s="4">
        <f t="shared" si="48"/>
        <v>12</v>
      </c>
      <c r="S944" s="4" t="str">
        <f t="shared" si="49"/>
        <v>安徽省</v>
      </c>
    </row>
    <row r="945" spans="14:19">
      <c r="N945" s="4">
        <v>944</v>
      </c>
      <c r="O945" s="4" t="s">
        <v>1827</v>
      </c>
      <c r="P945" s="4">
        <v>99</v>
      </c>
      <c r="Q945" s="4" t="str">
        <f t="shared" si="50"/>
        <v>芜湖市</v>
      </c>
      <c r="R945" s="4">
        <f t="shared" si="48"/>
        <v>12</v>
      </c>
      <c r="S945" s="4" t="str">
        <f t="shared" si="49"/>
        <v>安徽省</v>
      </c>
    </row>
    <row r="946" spans="14:19">
      <c r="N946" s="4">
        <v>945</v>
      </c>
      <c r="O946" s="4" t="s">
        <v>1828</v>
      </c>
      <c r="P946" s="4">
        <v>99</v>
      </c>
      <c r="Q946" s="4" t="str">
        <f t="shared" si="50"/>
        <v>芜湖市</v>
      </c>
      <c r="R946" s="4">
        <f t="shared" si="48"/>
        <v>12</v>
      </c>
      <c r="S946" s="4" t="str">
        <f t="shared" si="49"/>
        <v>安徽省</v>
      </c>
    </row>
    <row r="947" spans="14:19">
      <c r="N947" s="4">
        <v>946</v>
      </c>
      <c r="O947" s="4" t="s">
        <v>1829</v>
      </c>
      <c r="P947" s="4">
        <v>99</v>
      </c>
      <c r="Q947" s="4" t="str">
        <f t="shared" si="50"/>
        <v>芜湖市</v>
      </c>
      <c r="R947" s="4">
        <f t="shared" si="48"/>
        <v>12</v>
      </c>
      <c r="S947" s="4" t="str">
        <f t="shared" si="49"/>
        <v>安徽省</v>
      </c>
    </row>
    <row r="948" spans="14:19">
      <c r="N948" s="4">
        <v>947</v>
      </c>
      <c r="O948" s="4" t="s">
        <v>1830</v>
      </c>
      <c r="P948" s="4">
        <v>99</v>
      </c>
      <c r="Q948" s="4" t="str">
        <f t="shared" si="50"/>
        <v>芜湖市</v>
      </c>
      <c r="R948" s="4">
        <f t="shared" si="48"/>
        <v>12</v>
      </c>
      <c r="S948" s="4" t="str">
        <f t="shared" si="49"/>
        <v>安徽省</v>
      </c>
    </row>
    <row r="949" spans="14:19">
      <c r="N949" s="4">
        <v>948</v>
      </c>
      <c r="O949" s="4" t="s">
        <v>1831</v>
      </c>
      <c r="P949" s="4">
        <v>100</v>
      </c>
      <c r="Q949" s="4" t="str">
        <f t="shared" si="50"/>
        <v>蚌埠市</v>
      </c>
      <c r="R949" s="4">
        <f t="shared" si="48"/>
        <v>12</v>
      </c>
      <c r="S949" s="4" t="str">
        <f t="shared" si="49"/>
        <v>安徽省</v>
      </c>
    </row>
    <row r="950" spans="14:19">
      <c r="N950" s="4">
        <v>949</v>
      </c>
      <c r="O950" s="4" t="s">
        <v>1832</v>
      </c>
      <c r="P950" s="4">
        <v>100</v>
      </c>
      <c r="Q950" s="4" t="str">
        <f t="shared" si="50"/>
        <v>蚌埠市</v>
      </c>
      <c r="R950" s="4">
        <f t="shared" si="48"/>
        <v>12</v>
      </c>
      <c r="S950" s="4" t="str">
        <f t="shared" si="49"/>
        <v>安徽省</v>
      </c>
    </row>
    <row r="951" spans="14:19">
      <c r="N951" s="4">
        <v>950</v>
      </c>
      <c r="O951" s="4" t="s">
        <v>1833</v>
      </c>
      <c r="P951" s="4">
        <v>100</v>
      </c>
      <c r="Q951" s="4" t="str">
        <f t="shared" si="50"/>
        <v>蚌埠市</v>
      </c>
      <c r="R951" s="4">
        <f t="shared" si="48"/>
        <v>12</v>
      </c>
      <c r="S951" s="4" t="str">
        <f t="shared" si="49"/>
        <v>安徽省</v>
      </c>
    </row>
    <row r="952" spans="14:19">
      <c r="N952" s="4">
        <v>951</v>
      </c>
      <c r="O952" s="4" t="s">
        <v>1834</v>
      </c>
      <c r="P952" s="4">
        <v>100</v>
      </c>
      <c r="Q952" s="4" t="str">
        <f t="shared" si="50"/>
        <v>蚌埠市</v>
      </c>
      <c r="R952" s="4">
        <f t="shared" si="48"/>
        <v>12</v>
      </c>
      <c r="S952" s="4" t="str">
        <f t="shared" si="49"/>
        <v>安徽省</v>
      </c>
    </row>
    <row r="953" spans="14:19">
      <c r="N953" s="4">
        <v>952</v>
      </c>
      <c r="O953" s="4" t="s">
        <v>1835</v>
      </c>
      <c r="P953" s="4">
        <v>100</v>
      </c>
      <c r="Q953" s="4" t="str">
        <f t="shared" si="50"/>
        <v>蚌埠市</v>
      </c>
      <c r="R953" s="4">
        <f t="shared" si="48"/>
        <v>12</v>
      </c>
      <c r="S953" s="4" t="str">
        <f t="shared" si="49"/>
        <v>安徽省</v>
      </c>
    </row>
    <row r="954" spans="14:19">
      <c r="N954" s="4">
        <v>953</v>
      </c>
      <c r="O954" s="4" t="s">
        <v>1836</v>
      </c>
      <c r="P954" s="4">
        <v>100</v>
      </c>
      <c r="Q954" s="4" t="str">
        <f t="shared" si="50"/>
        <v>蚌埠市</v>
      </c>
      <c r="R954" s="4">
        <f t="shared" si="48"/>
        <v>12</v>
      </c>
      <c r="S954" s="4" t="str">
        <f t="shared" si="49"/>
        <v>安徽省</v>
      </c>
    </row>
    <row r="955" spans="14:19">
      <c r="N955" s="4">
        <v>954</v>
      </c>
      <c r="O955" s="4" t="s">
        <v>1837</v>
      </c>
      <c r="P955" s="4">
        <v>100</v>
      </c>
      <c r="Q955" s="4" t="str">
        <f t="shared" si="50"/>
        <v>蚌埠市</v>
      </c>
      <c r="R955" s="4">
        <f t="shared" si="48"/>
        <v>12</v>
      </c>
      <c r="S955" s="4" t="str">
        <f t="shared" si="49"/>
        <v>安徽省</v>
      </c>
    </row>
    <row r="956" spans="14:19">
      <c r="N956" s="4">
        <v>955</v>
      </c>
      <c r="O956" s="4" t="s">
        <v>1838</v>
      </c>
      <c r="P956" s="4">
        <v>101</v>
      </c>
      <c r="Q956" s="4" t="str">
        <f t="shared" si="50"/>
        <v>淮南市</v>
      </c>
      <c r="R956" s="4">
        <f t="shared" si="48"/>
        <v>12</v>
      </c>
      <c r="S956" s="4" t="str">
        <f t="shared" si="49"/>
        <v>安徽省</v>
      </c>
    </row>
    <row r="957" spans="14:19">
      <c r="N957" s="4">
        <v>956</v>
      </c>
      <c r="O957" s="4" t="s">
        <v>1839</v>
      </c>
      <c r="P957" s="4">
        <v>101</v>
      </c>
      <c r="Q957" s="4" t="str">
        <f t="shared" si="50"/>
        <v>淮南市</v>
      </c>
      <c r="R957" s="4">
        <f t="shared" si="48"/>
        <v>12</v>
      </c>
      <c r="S957" s="4" t="str">
        <f t="shared" si="49"/>
        <v>安徽省</v>
      </c>
    </row>
    <row r="958" spans="14:19">
      <c r="N958" s="4">
        <v>957</v>
      </c>
      <c r="O958" s="4" t="s">
        <v>1840</v>
      </c>
      <c r="P958" s="4">
        <v>101</v>
      </c>
      <c r="Q958" s="4" t="str">
        <f t="shared" si="50"/>
        <v>淮南市</v>
      </c>
      <c r="R958" s="4">
        <f t="shared" si="48"/>
        <v>12</v>
      </c>
      <c r="S958" s="4" t="str">
        <f t="shared" si="49"/>
        <v>安徽省</v>
      </c>
    </row>
    <row r="959" spans="14:19">
      <c r="N959" s="4">
        <v>958</v>
      </c>
      <c r="O959" s="4" t="s">
        <v>1841</v>
      </c>
      <c r="P959" s="4">
        <v>101</v>
      </c>
      <c r="Q959" s="4" t="str">
        <f t="shared" si="50"/>
        <v>淮南市</v>
      </c>
      <c r="R959" s="4">
        <f t="shared" si="48"/>
        <v>12</v>
      </c>
      <c r="S959" s="4" t="str">
        <f t="shared" si="49"/>
        <v>安徽省</v>
      </c>
    </row>
    <row r="960" spans="14:19">
      <c r="N960" s="4">
        <v>959</v>
      </c>
      <c r="O960" s="4" t="s">
        <v>1842</v>
      </c>
      <c r="P960" s="4">
        <v>101</v>
      </c>
      <c r="Q960" s="4" t="str">
        <f t="shared" si="50"/>
        <v>淮南市</v>
      </c>
      <c r="R960" s="4">
        <f t="shared" si="48"/>
        <v>12</v>
      </c>
      <c r="S960" s="4" t="str">
        <f t="shared" si="49"/>
        <v>安徽省</v>
      </c>
    </row>
    <row r="961" spans="14:19">
      <c r="N961" s="4">
        <v>960</v>
      </c>
      <c r="O961" s="4" t="s">
        <v>1843</v>
      </c>
      <c r="P961" s="4">
        <v>101</v>
      </c>
      <c r="Q961" s="4" t="str">
        <f t="shared" si="50"/>
        <v>淮南市</v>
      </c>
      <c r="R961" s="4">
        <f t="shared" si="48"/>
        <v>12</v>
      </c>
      <c r="S961" s="4" t="str">
        <f t="shared" si="49"/>
        <v>安徽省</v>
      </c>
    </row>
    <row r="962" spans="14:19">
      <c r="N962" s="4">
        <v>961</v>
      </c>
      <c r="O962" s="4" t="s">
        <v>1844</v>
      </c>
      <c r="P962" s="4">
        <v>102</v>
      </c>
      <c r="Q962" s="4" t="str">
        <f t="shared" si="50"/>
        <v>马鞍山市</v>
      </c>
      <c r="R962" s="4">
        <f t="shared" ref="R962:R1025" si="51">VLOOKUP(P962,$I$2:$M$346,3,FALSE)</f>
        <v>12</v>
      </c>
      <c r="S962" s="4" t="str">
        <f t="shared" ref="S962:S1025" si="52">VLOOKUP(P962,$I$2:$M$346,4,FALSE)</f>
        <v>安徽省</v>
      </c>
    </row>
    <row r="963" spans="14:19">
      <c r="N963" s="4">
        <v>962</v>
      </c>
      <c r="O963" s="4" t="s">
        <v>1845</v>
      </c>
      <c r="P963" s="4">
        <v>102</v>
      </c>
      <c r="Q963" s="4" t="str">
        <f t="shared" ref="Q963:Q1026" si="53">VLOOKUP(P963,$I$2:$J$346,2,FALSE)</f>
        <v>马鞍山市</v>
      </c>
      <c r="R963" s="4">
        <f t="shared" si="51"/>
        <v>12</v>
      </c>
      <c r="S963" s="4" t="str">
        <f t="shared" si="52"/>
        <v>安徽省</v>
      </c>
    </row>
    <row r="964" spans="14:19">
      <c r="N964" s="4">
        <v>963</v>
      </c>
      <c r="O964" s="4" t="s">
        <v>1846</v>
      </c>
      <c r="P964" s="4">
        <v>102</v>
      </c>
      <c r="Q964" s="4" t="str">
        <f t="shared" si="53"/>
        <v>马鞍山市</v>
      </c>
      <c r="R964" s="4">
        <f t="shared" si="51"/>
        <v>12</v>
      </c>
      <c r="S964" s="4" t="str">
        <f t="shared" si="52"/>
        <v>安徽省</v>
      </c>
    </row>
    <row r="965" spans="14:19">
      <c r="N965" s="4">
        <v>964</v>
      </c>
      <c r="O965" s="4" t="s">
        <v>1847</v>
      </c>
      <c r="P965" s="4">
        <v>102</v>
      </c>
      <c r="Q965" s="4" t="str">
        <f t="shared" si="53"/>
        <v>马鞍山市</v>
      </c>
      <c r="R965" s="4">
        <f t="shared" si="51"/>
        <v>12</v>
      </c>
      <c r="S965" s="4" t="str">
        <f t="shared" si="52"/>
        <v>安徽省</v>
      </c>
    </row>
    <row r="966" spans="14:19">
      <c r="N966" s="4">
        <v>965</v>
      </c>
      <c r="O966" s="4" t="s">
        <v>1848</v>
      </c>
      <c r="P966" s="4">
        <v>103</v>
      </c>
      <c r="Q966" s="4" t="str">
        <f t="shared" si="53"/>
        <v>淮北市</v>
      </c>
      <c r="R966" s="4">
        <f t="shared" si="51"/>
        <v>12</v>
      </c>
      <c r="S966" s="4" t="str">
        <f t="shared" si="52"/>
        <v>安徽省</v>
      </c>
    </row>
    <row r="967" spans="14:19">
      <c r="N967" s="4">
        <v>966</v>
      </c>
      <c r="O967" s="4" t="s">
        <v>1849</v>
      </c>
      <c r="P967" s="4">
        <v>103</v>
      </c>
      <c r="Q967" s="4" t="str">
        <f t="shared" si="53"/>
        <v>淮北市</v>
      </c>
      <c r="R967" s="4">
        <f t="shared" si="51"/>
        <v>12</v>
      </c>
      <c r="S967" s="4" t="str">
        <f t="shared" si="52"/>
        <v>安徽省</v>
      </c>
    </row>
    <row r="968" spans="14:19">
      <c r="N968" s="4">
        <v>967</v>
      </c>
      <c r="O968" s="4" t="s">
        <v>1850</v>
      </c>
      <c r="P968" s="4">
        <v>103</v>
      </c>
      <c r="Q968" s="4" t="str">
        <f t="shared" si="53"/>
        <v>淮北市</v>
      </c>
      <c r="R968" s="4">
        <f t="shared" si="51"/>
        <v>12</v>
      </c>
      <c r="S968" s="4" t="str">
        <f t="shared" si="52"/>
        <v>安徽省</v>
      </c>
    </row>
    <row r="969" spans="14:19">
      <c r="N969" s="4">
        <v>968</v>
      </c>
      <c r="O969" s="4" t="s">
        <v>1851</v>
      </c>
      <c r="P969" s="4">
        <v>103</v>
      </c>
      <c r="Q969" s="4" t="str">
        <f t="shared" si="53"/>
        <v>淮北市</v>
      </c>
      <c r="R969" s="4">
        <f t="shared" si="51"/>
        <v>12</v>
      </c>
      <c r="S969" s="4" t="str">
        <f t="shared" si="52"/>
        <v>安徽省</v>
      </c>
    </row>
    <row r="970" spans="14:19">
      <c r="N970" s="4">
        <v>969</v>
      </c>
      <c r="O970" s="4" t="s">
        <v>1852</v>
      </c>
      <c r="P970" s="4">
        <v>104</v>
      </c>
      <c r="Q970" s="4" t="str">
        <f t="shared" si="53"/>
        <v>铜陵市</v>
      </c>
      <c r="R970" s="4">
        <f t="shared" si="51"/>
        <v>12</v>
      </c>
      <c r="S970" s="4" t="str">
        <f t="shared" si="52"/>
        <v>安徽省</v>
      </c>
    </row>
    <row r="971" spans="14:19">
      <c r="N971" s="4">
        <v>970</v>
      </c>
      <c r="O971" s="4" t="s">
        <v>1853</v>
      </c>
      <c r="P971" s="4">
        <v>104</v>
      </c>
      <c r="Q971" s="4" t="str">
        <f t="shared" si="53"/>
        <v>铜陵市</v>
      </c>
      <c r="R971" s="4">
        <f t="shared" si="51"/>
        <v>12</v>
      </c>
      <c r="S971" s="4" t="str">
        <f t="shared" si="52"/>
        <v>安徽省</v>
      </c>
    </row>
    <row r="972" spans="14:19">
      <c r="N972" s="4">
        <v>971</v>
      </c>
      <c r="O972" s="4" t="s">
        <v>914</v>
      </c>
      <c r="P972" s="4">
        <v>104</v>
      </c>
      <c r="Q972" s="4" t="str">
        <f t="shared" si="53"/>
        <v>铜陵市</v>
      </c>
      <c r="R972" s="4">
        <f t="shared" si="51"/>
        <v>12</v>
      </c>
      <c r="S972" s="4" t="str">
        <f t="shared" si="52"/>
        <v>安徽省</v>
      </c>
    </row>
    <row r="973" spans="14:19">
      <c r="N973" s="4">
        <v>972</v>
      </c>
      <c r="O973" s="4" t="s">
        <v>1854</v>
      </c>
      <c r="P973" s="4">
        <v>104</v>
      </c>
      <c r="Q973" s="4" t="str">
        <f t="shared" si="53"/>
        <v>铜陵市</v>
      </c>
      <c r="R973" s="4">
        <f t="shared" si="51"/>
        <v>12</v>
      </c>
      <c r="S973" s="4" t="str">
        <f t="shared" si="52"/>
        <v>安徽省</v>
      </c>
    </row>
    <row r="974" spans="14:19">
      <c r="N974" s="4">
        <v>973</v>
      </c>
      <c r="O974" s="4" t="s">
        <v>1855</v>
      </c>
      <c r="P974" s="4">
        <v>105</v>
      </c>
      <c r="Q974" s="4" t="str">
        <f t="shared" si="53"/>
        <v>安庆市</v>
      </c>
      <c r="R974" s="4">
        <f t="shared" si="51"/>
        <v>12</v>
      </c>
      <c r="S974" s="4" t="str">
        <f t="shared" si="52"/>
        <v>安徽省</v>
      </c>
    </row>
    <row r="975" spans="14:19">
      <c r="N975" s="4">
        <v>974</v>
      </c>
      <c r="O975" s="4" t="s">
        <v>1856</v>
      </c>
      <c r="P975" s="4">
        <v>105</v>
      </c>
      <c r="Q975" s="4" t="str">
        <f t="shared" si="53"/>
        <v>安庆市</v>
      </c>
      <c r="R975" s="4">
        <f t="shared" si="51"/>
        <v>12</v>
      </c>
      <c r="S975" s="4" t="str">
        <f t="shared" si="52"/>
        <v>安徽省</v>
      </c>
    </row>
    <row r="976" spans="14:19">
      <c r="N976" s="4">
        <v>975</v>
      </c>
      <c r="O976" s="4" t="s">
        <v>914</v>
      </c>
      <c r="P976" s="4">
        <v>105</v>
      </c>
      <c r="Q976" s="4" t="str">
        <f t="shared" si="53"/>
        <v>安庆市</v>
      </c>
      <c r="R976" s="4">
        <f t="shared" si="51"/>
        <v>12</v>
      </c>
      <c r="S976" s="4" t="str">
        <f t="shared" si="52"/>
        <v>安徽省</v>
      </c>
    </row>
    <row r="977" spans="14:19">
      <c r="N977" s="4">
        <v>976</v>
      </c>
      <c r="O977" s="4" t="s">
        <v>1857</v>
      </c>
      <c r="P977" s="4">
        <v>105</v>
      </c>
      <c r="Q977" s="4" t="str">
        <f t="shared" si="53"/>
        <v>安庆市</v>
      </c>
      <c r="R977" s="4">
        <f t="shared" si="51"/>
        <v>12</v>
      </c>
      <c r="S977" s="4" t="str">
        <f t="shared" si="52"/>
        <v>安徽省</v>
      </c>
    </row>
    <row r="978" spans="14:19">
      <c r="N978" s="4">
        <v>977</v>
      </c>
      <c r="O978" s="4" t="s">
        <v>1858</v>
      </c>
      <c r="P978" s="4">
        <v>105</v>
      </c>
      <c r="Q978" s="4" t="str">
        <f t="shared" si="53"/>
        <v>安庆市</v>
      </c>
      <c r="R978" s="4">
        <f t="shared" si="51"/>
        <v>12</v>
      </c>
      <c r="S978" s="4" t="str">
        <f t="shared" si="52"/>
        <v>安徽省</v>
      </c>
    </row>
    <row r="979" spans="14:19">
      <c r="N979" s="4">
        <v>978</v>
      </c>
      <c r="O979" s="4" t="s">
        <v>1859</v>
      </c>
      <c r="P979" s="4">
        <v>105</v>
      </c>
      <c r="Q979" s="4" t="str">
        <f t="shared" si="53"/>
        <v>安庆市</v>
      </c>
      <c r="R979" s="4">
        <f t="shared" si="51"/>
        <v>12</v>
      </c>
      <c r="S979" s="4" t="str">
        <f t="shared" si="52"/>
        <v>安徽省</v>
      </c>
    </row>
    <row r="980" spans="14:19">
      <c r="N980" s="4">
        <v>979</v>
      </c>
      <c r="O980" s="4" t="s">
        <v>1860</v>
      </c>
      <c r="P980" s="4">
        <v>105</v>
      </c>
      <c r="Q980" s="4" t="str">
        <f t="shared" si="53"/>
        <v>安庆市</v>
      </c>
      <c r="R980" s="4">
        <f t="shared" si="51"/>
        <v>12</v>
      </c>
      <c r="S980" s="4" t="str">
        <f t="shared" si="52"/>
        <v>安徽省</v>
      </c>
    </row>
    <row r="981" spans="14:19">
      <c r="N981" s="4">
        <v>980</v>
      </c>
      <c r="O981" s="4" t="s">
        <v>1861</v>
      </c>
      <c r="P981" s="4">
        <v>105</v>
      </c>
      <c r="Q981" s="4" t="str">
        <f t="shared" si="53"/>
        <v>安庆市</v>
      </c>
      <c r="R981" s="4">
        <f t="shared" si="51"/>
        <v>12</v>
      </c>
      <c r="S981" s="4" t="str">
        <f t="shared" si="52"/>
        <v>安徽省</v>
      </c>
    </row>
    <row r="982" spans="14:19">
      <c r="N982" s="4">
        <v>981</v>
      </c>
      <c r="O982" s="4" t="s">
        <v>1862</v>
      </c>
      <c r="P982" s="4">
        <v>105</v>
      </c>
      <c r="Q982" s="4" t="str">
        <f t="shared" si="53"/>
        <v>安庆市</v>
      </c>
      <c r="R982" s="4">
        <f t="shared" si="51"/>
        <v>12</v>
      </c>
      <c r="S982" s="4" t="str">
        <f t="shared" si="52"/>
        <v>安徽省</v>
      </c>
    </row>
    <row r="983" spans="14:19">
      <c r="N983" s="4">
        <v>982</v>
      </c>
      <c r="O983" s="4" t="s">
        <v>1863</v>
      </c>
      <c r="P983" s="4">
        <v>105</v>
      </c>
      <c r="Q983" s="4" t="str">
        <f t="shared" si="53"/>
        <v>安庆市</v>
      </c>
      <c r="R983" s="4">
        <f t="shared" si="51"/>
        <v>12</v>
      </c>
      <c r="S983" s="4" t="str">
        <f t="shared" si="52"/>
        <v>安徽省</v>
      </c>
    </row>
    <row r="984" spans="14:19">
      <c r="N984" s="4">
        <v>983</v>
      </c>
      <c r="O984" s="4" t="s">
        <v>1864</v>
      </c>
      <c r="P984" s="4">
        <v>105</v>
      </c>
      <c r="Q984" s="4" t="str">
        <f t="shared" si="53"/>
        <v>安庆市</v>
      </c>
      <c r="R984" s="4">
        <f t="shared" si="51"/>
        <v>12</v>
      </c>
      <c r="S984" s="4" t="str">
        <f t="shared" si="52"/>
        <v>安徽省</v>
      </c>
    </row>
    <row r="985" spans="14:19">
      <c r="N985" s="4">
        <v>984</v>
      </c>
      <c r="O985" s="4" t="s">
        <v>1865</v>
      </c>
      <c r="P985" s="4">
        <v>106</v>
      </c>
      <c r="Q985" s="4" t="str">
        <f t="shared" si="53"/>
        <v>黄山市</v>
      </c>
      <c r="R985" s="4">
        <f t="shared" si="51"/>
        <v>12</v>
      </c>
      <c r="S985" s="4" t="str">
        <f t="shared" si="52"/>
        <v>安徽省</v>
      </c>
    </row>
    <row r="986" spans="14:19">
      <c r="N986" s="4">
        <v>985</v>
      </c>
      <c r="O986" s="4" t="s">
        <v>1866</v>
      </c>
      <c r="P986" s="4">
        <v>106</v>
      </c>
      <c r="Q986" s="4" t="str">
        <f t="shared" si="53"/>
        <v>黄山市</v>
      </c>
      <c r="R986" s="4">
        <f t="shared" si="51"/>
        <v>12</v>
      </c>
      <c r="S986" s="4" t="str">
        <f t="shared" si="52"/>
        <v>安徽省</v>
      </c>
    </row>
    <row r="987" spans="14:19">
      <c r="N987" s="4">
        <v>986</v>
      </c>
      <c r="O987" s="4" t="s">
        <v>1867</v>
      </c>
      <c r="P987" s="4">
        <v>106</v>
      </c>
      <c r="Q987" s="4" t="str">
        <f t="shared" si="53"/>
        <v>黄山市</v>
      </c>
      <c r="R987" s="4">
        <f t="shared" si="51"/>
        <v>12</v>
      </c>
      <c r="S987" s="4" t="str">
        <f t="shared" si="52"/>
        <v>安徽省</v>
      </c>
    </row>
    <row r="988" spans="14:19">
      <c r="N988" s="4">
        <v>987</v>
      </c>
      <c r="O988" s="4" t="s">
        <v>1868</v>
      </c>
      <c r="P988" s="4">
        <v>106</v>
      </c>
      <c r="Q988" s="4" t="str">
        <f t="shared" si="53"/>
        <v>黄山市</v>
      </c>
      <c r="R988" s="4">
        <f t="shared" si="51"/>
        <v>12</v>
      </c>
      <c r="S988" s="4" t="str">
        <f t="shared" si="52"/>
        <v>安徽省</v>
      </c>
    </row>
    <row r="989" spans="14:19">
      <c r="N989" s="4">
        <v>988</v>
      </c>
      <c r="O989" s="4" t="s">
        <v>1869</v>
      </c>
      <c r="P989" s="4">
        <v>106</v>
      </c>
      <c r="Q989" s="4" t="str">
        <f t="shared" si="53"/>
        <v>黄山市</v>
      </c>
      <c r="R989" s="4">
        <f t="shared" si="51"/>
        <v>12</v>
      </c>
      <c r="S989" s="4" t="str">
        <f t="shared" si="52"/>
        <v>安徽省</v>
      </c>
    </row>
    <row r="990" spans="14:19">
      <c r="N990" s="4">
        <v>989</v>
      </c>
      <c r="O990" s="4" t="s">
        <v>1870</v>
      </c>
      <c r="P990" s="4">
        <v>106</v>
      </c>
      <c r="Q990" s="4" t="str">
        <f t="shared" si="53"/>
        <v>黄山市</v>
      </c>
      <c r="R990" s="4">
        <f t="shared" si="51"/>
        <v>12</v>
      </c>
      <c r="S990" s="4" t="str">
        <f t="shared" si="52"/>
        <v>安徽省</v>
      </c>
    </row>
    <row r="991" spans="14:19">
      <c r="N991" s="4">
        <v>990</v>
      </c>
      <c r="O991" s="4" t="s">
        <v>1871</v>
      </c>
      <c r="P991" s="4">
        <v>106</v>
      </c>
      <c r="Q991" s="4" t="str">
        <f t="shared" si="53"/>
        <v>黄山市</v>
      </c>
      <c r="R991" s="4">
        <f t="shared" si="51"/>
        <v>12</v>
      </c>
      <c r="S991" s="4" t="str">
        <f t="shared" si="52"/>
        <v>安徽省</v>
      </c>
    </row>
    <row r="992" spans="14:19">
      <c r="N992" s="4">
        <v>991</v>
      </c>
      <c r="O992" s="4" t="s">
        <v>1872</v>
      </c>
      <c r="P992" s="4">
        <v>107</v>
      </c>
      <c r="Q992" s="4" t="str">
        <f t="shared" si="53"/>
        <v>滁州市</v>
      </c>
      <c r="R992" s="4">
        <f t="shared" si="51"/>
        <v>12</v>
      </c>
      <c r="S992" s="4" t="str">
        <f t="shared" si="52"/>
        <v>安徽省</v>
      </c>
    </row>
    <row r="993" spans="14:19">
      <c r="N993" s="4">
        <v>992</v>
      </c>
      <c r="O993" s="4" t="s">
        <v>1873</v>
      </c>
      <c r="P993" s="4">
        <v>107</v>
      </c>
      <c r="Q993" s="4" t="str">
        <f t="shared" si="53"/>
        <v>滁州市</v>
      </c>
      <c r="R993" s="4">
        <f t="shared" si="51"/>
        <v>12</v>
      </c>
      <c r="S993" s="4" t="str">
        <f t="shared" si="52"/>
        <v>安徽省</v>
      </c>
    </row>
    <row r="994" spans="14:19">
      <c r="N994" s="4">
        <v>993</v>
      </c>
      <c r="O994" s="4" t="s">
        <v>1874</v>
      </c>
      <c r="P994" s="4">
        <v>107</v>
      </c>
      <c r="Q994" s="4" t="str">
        <f t="shared" si="53"/>
        <v>滁州市</v>
      </c>
      <c r="R994" s="4">
        <f t="shared" si="51"/>
        <v>12</v>
      </c>
      <c r="S994" s="4" t="str">
        <f t="shared" si="52"/>
        <v>安徽省</v>
      </c>
    </row>
    <row r="995" spans="14:19">
      <c r="N995" s="4">
        <v>994</v>
      </c>
      <c r="O995" s="4" t="s">
        <v>1875</v>
      </c>
      <c r="P995" s="4">
        <v>107</v>
      </c>
      <c r="Q995" s="4" t="str">
        <f t="shared" si="53"/>
        <v>滁州市</v>
      </c>
      <c r="R995" s="4">
        <f t="shared" si="51"/>
        <v>12</v>
      </c>
      <c r="S995" s="4" t="str">
        <f t="shared" si="52"/>
        <v>安徽省</v>
      </c>
    </row>
    <row r="996" spans="14:19">
      <c r="N996" s="4">
        <v>995</v>
      </c>
      <c r="O996" s="4" t="s">
        <v>1876</v>
      </c>
      <c r="P996" s="4">
        <v>107</v>
      </c>
      <c r="Q996" s="4" t="str">
        <f t="shared" si="53"/>
        <v>滁州市</v>
      </c>
      <c r="R996" s="4">
        <f t="shared" si="51"/>
        <v>12</v>
      </c>
      <c r="S996" s="4" t="str">
        <f t="shared" si="52"/>
        <v>安徽省</v>
      </c>
    </row>
    <row r="997" spans="14:19">
      <c r="N997" s="4">
        <v>996</v>
      </c>
      <c r="O997" s="4" t="s">
        <v>1877</v>
      </c>
      <c r="P997" s="4">
        <v>107</v>
      </c>
      <c r="Q997" s="4" t="str">
        <f t="shared" si="53"/>
        <v>滁州市</v>
      </c>
      <c r="R997" s="4">
        <f t="shared" si="51"/>
        <v>12</v>
      </c>
      <c r="S997" s="4" t="str">
        <f t="shared" si="52"/>
        <v>安徽省</v>
      </c>
    </row>
    <row r="998" spans="14:19">
      <c r="N998" s="4">
        <v>997</v>
      </c>
      <c r="O998" s="4" t="s">
        <v>1878</v>
      </c>
      <c r="P998" s="4">
        <v>107</v>
      </c>
      <c r="Q998" s="4" t="str">
        <f t="shared" si="53"/>
        <v>滁州市</v>
      </c>
      <c r="R998" s="4">
        <f t="shared" si="51"/>
        <v>12</v>
      </c>
      <c r="S998" s="4" t="str">
        <f t="shared" si="52"/>
        <v>安徽省</v>
      </c>
    </row>
    <row r="999" spans="14:19">
      <c r="N999" s="4">
        <v>998</v>
      </c>
      <c r="O999" s="4" t="s">
        <v>1879</v>
      </c>
      <c r="P999" s="4">
        <v>107</v>
      </c>
      <c r="Q999" s="4" t="str">
        <f t="shared" si="53"/>
        <v>滁州市</v>
      </c>
      <c r="R999" s="4">
        <f t="shared" si="51"/>
        <v>12</v>
      </c>
      <c r="S999" s="4" t="str">
        <f t="shared" si="52"/>
        <v>安徽省</v>
      </c>
    </row>
    <row r="1000" spans="14:19">
      <c r="N1000" s="4">
        <v>999</v>
      </c>
      <c r="O1000" s="4" t="s">
        <v>1880</v>
      </c>
      <c r="P1000" s="4">
        <v>108</v>
      </c>
      <c r="Q1000" s="4" t="str">
        <f t="shared" si="53"/>
        <v>阜阳市</v>
      </c>
      <c r="R1000" s="4">
        <f t="shared" si="51"/>
        <v>12</v>
      </c>
      <c r="S1000" s="4" t="str">
        <f t="shared" si="52"/>
        <v>安徽省</v>
      </c>
    </row>
    <row r="1001" spans="14:19">
      <c r="N1001" s="4">
        <v>1000</v>
      </c>
      <c r="O1001" s="4" t="s">
        <v>1881</v>
      </c>
      <c r="P1001" s="4">
        <v>108</v>
      </c>
      <c r="Q1001" s="4" t="str">
        <f t="shared" si="53"/>
        <v>阜阳市</v>
      </c>
      <c r="R1001" s="4">
        <f t="shared" si="51"/>
        <v>12</v>
      </c>
      <c r="S1001" s="4" t="str">
        <f t="shared" si="52"/>
        <v>安徽省</v>
      </c>
    </row>
    <row r="1002" spans="14:19">
      <c r="N1002" s="4">
        <v>1001</v>
      </c>
      <c r="O1002" s="4" t="s">
        <v>1882</v>
      </c>
      <c r="P1002" s="4">
        <v>108</v>
      </c>
      <c r="Q1002" s="4" t="str">
        <f t="shared" si="53"/>
        <v>阜阳市</v>
      </c>
      <c r="R1002" s="4">
        <f t="shared" si="51"/>
        <v>12</v>
      </c>
      <c r="S1002" s="4" t="str">
        <f t="shared" si="52"/>
        <v>安徽省</v>
      </c>
    </row>
    <row r="1003" spans="14:19">
      <c r="N1003" s="4">
        <v>1002</v>
      </c>
      <c r="O1003" s="4" t="s">
        <v>1883</v>
      </c>
      <c r="P1003" s="4">
        <v>108</v>
      </c>
      <c r="Q1003" s="4" t="str">
        <f t="shared" si="53"/>
        <v>阜阳市</v>
      </c>
      <c r="R1003" s="4">
        <f t="shared" si="51"/>
        <v>12</v>
      </c>
      <c r="S1003" s="4" t="str">
        <f t="shared" si="52"/>
        <v>安徽省</v>
      </c>
    </row>
    <row r="1004" spans="14:19">
      <c r="N1004" s="4">
        <v>1003</v>
      </c>
      <c r="O1004" s="4" t="s">
        <v>1884</v>
      </c>
      <c r="P1004" s="4">
        <v>108</v>
      </c>
      <c r="Q1004" s="4" t="str">
        <f t="shared" si="53"/>
        <v>阜阳市</v>
      </c>
      <c r="R1004" s="4">
        <f t="shared" si="51"/>
        <v>12</v>
      </c>
      <c r="S1004" s="4" t="str">
        <f t="shared" si="52"/>
        <v>安徽省</v>
      </c>
    </row>
    <row r="1005" spans="14:19">
      <c r="N1005" s="4">
        <v>1004</v>
      </c>
      <c r="O1005" s="4" t="s">
        <v>1885</v>
      </c>
      <c r="P1005" s="4">
        <v>108</v>
      </c>
      <c r="Q1005" s="4" t="str">
        <f t="shared" si="53"/>
        <v>阜阳市</v>
      </c>
      <c r="R1005" s="4">
        <f t="shared" si="51"/>
        <v>12</v>
      </c>
      <c r="S1005" s="4" t="str">
        <f t="shared" si="52"/>
        <v>安徽省</v>
      </c>
    </row>
    <row r="1006" spans="14:19">
      <c r="N1006" s="4">
        <v>1005</v>
      </c>
      <c r="O1006" s="4" t="s">
        <v>1886</v>
      </c>
      <c r="P1006" s="4">
        <v>108</v>
      </c>
      <c r="Q1006" s="4" t="str">
        <f t="shared" si="53"/>
        <v>阜阳市</v>
      </c>
      <c r="R1006" s="4">
        <f t="shared" si="51"/>
        <v>12</v>
      </c>
      <c r="S1006" s="4" t="str">
        <f t="shared" si="52"/>
        <v>安徽省</v>
      </c>
    </row>
    <row r="1007" spans="14:19">
      <c r="N1007" s="4">
        <v>1006</v>
      </c>
      <c r="O1007" s="4" t="s">
        <v>1887</v>
      </c>
      <c r="P1007" s="4">
        <v>108</v>
      </c>
      <c r="Q1007" s="4" t="str">
        <f t="shared" si="53"/>
        <v>阜阳市</v>
      </c>
      <c r="R1007" s="4">
        <f t="shared" si="51"/>
        <v>12</v>
      </c>
      <c r="S1007" s="4" t="str">
        <f t="shared" si="52"/>
        <v>安徽省</v>
      </c>
    </row>
    <row r="1008" spans="14:19">
      <c r="N1008" s="4">
        <v>1007</v>
      </c>
      <c r="O1008" s="4" t="s">
        <v>1888</v>
      </c>
      <c r="P1008" s="4">
        <v>109</v>
      </c>
      <c r="Q1008" s="4" t="str">
        <f t="shared" si="53"/>
        <v>宿州市</v>
      </c>
      <c r="R1008" s="4">
        <f t="shared" si="51"/>
        <v>12</v>
      </c>
      <c r="S1008" s="4" t="str">
        <f t="shared" si="52"/>
        <v>安徽省</v>
      </c>
    </row>
    <row r="1009" spans="14:19">
      <c r="N1009" s="4">
        <v>1008</v>
      </c>
      <c r="O1009" s="4" t="s">
        <v>1889</v>
      </c>
      <c r="P1009" s="4">
        <v>109</v>
      </c>
      <c r="Q1009" s="4" t="str">
        <f t="shared" si="53"/>
        <v>宿州市</v>
      </c>
      <c r="R1009" s="4">
        <f t="shared" si="51"/>
        <v>12</v>
      </c>
      <c r="S1009" s="4" t="str">
        <f t="shared" si="52"/>
        <v>安徽省</v>
      </c>
    </row>
    <row r="1010" spans="14:19">
      <c r="N1010" s="4">
        <v>1009</v>
      </c>
      <c r="O1010" s="4" t="s">
        <v>1890</v>
      </c>
      <c r="P1010" s="4">
        <v>109</v>
      </c>
      <c r="Q1010" s="4" t="str">
        <f t="shared" si="53"/>
        <v>宿州市</v>
      </c>
      <c r="R1010" s="4">
        <f t="shared" si="51"/>
        <v>12</v>
      </c>
      <c r="S1010" s="4" t="str">
        <f t="shared" si="52"/>
        <v>安徽省</v>
      </c>
    </row>
    <row r="1011" spans="14:19">
      <c r="N1011" s="4">
        <v>1010</v>
      </c>
      <c r="O1011" s="4" t="s">
        <v>1891</v>
      </c>
      <c r="P1011" s="4">
        <v>109</v>
      </c>
      <c r="Q1011" s="4" t="str">
        <f t="shared" si="53"/>
        <v>宿州市</v>
      </c>
      <c r="R1011" s="4">
        <f t="shared" si="51"/>
        <v>12</v>
      </c>
      <c r="S1011" s="4" t="str">
        <f t="shared" si="52"/>
        <v>安徽省</v>
      </c>
    </row>
    <row r="1012" spans="14:19">
      <c r="N1012" s="4">
        <v>1011</v>
      </c>
      <c r="O1012" s="4" t="s">
        <v>1892</v>
      </c>
      <c r="P1012" s="4">
        <v>109</v>
      </c>
      <c r="Q1012" s="4" t="str">
        <f t="shared" si="53"/>
        <v>宿州市</v>
      </c>
      <c r="R1012" s="4">
        <f t="shared" si="51"/>
        <v>12</v>
      </c>
      <c r="S1012" s="4" t="str">
        <f t="shared" si="52"/>
        <v>安徽省</v>
      </c>
    </row>
    <row r="1013" spans="14:19">
      <c r="N1013" s="4">
        <v>1012</v>
      </c>
      <c r="O1013" s="4" t="s">
        <v>1893</v>
      </c>
      <c r="P1013" s="4">
        <v>110</v>
      </c>
      <c r="Q1013" s="4" t="str">
        <f t="shared" si="53"/>
        <v>巢湖市</v>
      </c>
      <c r="R1013" s="4">
        <f t="shared" si="51"/>
        <v>12</v>
      </c>
      <c r="S1013" s="4" t="str">
        <f t="shared" si="52"/>
        <v>安徽省</v>
      </c>
    </row>
    <row r="1014" spans="14:19">
      <c r="N1014" s="4">
        <v>1013</v>
      </c>
      <c r="O1014" s="4" t="s">
        <v>1894</v>
      </c>
      <c r="P1014" s="4">
        <v>110</v>
      </c>
      <c r="Q1014" s="4" t="str">
        <f t="shared" si="53"/>
        <v>巢湖市</v>
      </c>
      <c r="R1014" s="4">
        <f t="shared" si="51"/>
        <v>12</v>
      </c>
      <c r="S1014" s="4" t="str">
        <f t="shared" si="52"/>
        <v>安徽省</v>
      </c>
    </row>
    <row r="1015" spans="14:19">
      <c r="N1015" s="4">
        <v>1014</v>
      </c>
      <c r="O1015" s="4" t="s">
        <v>1895</v>
      </c>
      <c r="P1015" s="4">
        <v>110</v>
      </c>
      <c r="Q1015" s="4" t="str">
        <f t="shared" si="53"/>
        <v>巢湖市</v>
      </c>
      <c r="R1015" s="4">
        <f t="shared" si="51"/>
        <v>12</v>
      </c>
      <c r="S1015" s="4" t="str">
        <f t="shared" si="52"/>
        <v>安徽省</v>
      </c>
    </row>
    <row r="1016" spans="14:19">
      <c r="N1016" s="4">
        <v>1015</v>
      </c>
      <c r="O1016" s="4" t="s">
        <v>1896</v>
      </c>
      <c r="P1016" s="4">
        <v>110</v>
      </c>
      <c r="Q1016" s="4" t="str">
        <f t="shared" si="53"/>
        <v>巢湖市</v>
      </c>
      <c r="R1016" s="4">
        <f t="shared" si="51"/>
        <v>12</v>
      </c>
      <c r="S1016" s="4" t="str">
        <f t="shared" si="52"/>
        <v>安徽省</v>
      </c>
    </row>
    <row r="1017" spans="14:19">
      <c r="N1017" s="4">
        <v>1016</v>
      </c>
      <c r="O1017" s="4" t="s">
        <v>1897</v>
      </c>
      <c r="P1017" s="4">
        <v>110</v>
      </c>
      <c r="Q1017" s="4" t="str">
        <f t="shared" si="53"/>
        <v>巢湖市</v>
      </c>
      <c r="R1017" s="4">
        <f t="shared" si="51"/>
        <v>12</v>
      </c>
      <c r="S1017" s="4" t="str">
        <f t="shared" si="52"/>
        <v>安徽省</v>
      </c>
    </row>
    <row r="1018" spans="14:19">
      <c r="N1018" s="4">
        <v>1017</v>
      </c>
      <c r="O1018" s="4" t="s">
        <v>1898</v>
      </c>
      <c r="P1018" s="4">
        <v>111</v>
      </c>
      <c r="Q1018" s="4" t="str">
        <f t="shared" si="53"/>
        <v>六安市</v>
      </c>
      <c r="R1018" s="4">
        <f t="shared" si="51"/>
        <v>12</v>
      </c>
      <c r="S1018" s="4" t="str">
        <f t="shared" si="52"/>
        <v>安徽省</v>
      </c>
    </row>
    <row r="1019" spans="14:19">
      <c r="N1019" s="4">
        <v>1018</v>
      </c>
      <c r="O1019" s="4" t="s">
        <v>1899</v>
      </c>
      <c r="P1019" s="4">
        <v>111</v>
      </c>
      <c r="Q1019" s="4" t="str">
        <f t="shared" si="53"/>
        <v>六安市</v>
      </c>
      <c r="R1019" s="4">
        <f t="shared" si="51"/>
        <v>12</v>
      </c>
      <c r="S1019" s="4" t="str">
        <f t="shared" si="52"/>
        <v>安徽省</v>
      </c>
    </row>
    <row r="1020" spans="14:19">
      <c r="N1020" s="4">
        <v>1019</v>
      </c>
      <c r="O1020" s="4" t="s">
        <v>1900</v>
      </c>
      <c r="P1020" s="4">
        <v>111</v>
      </c>
      <c r="Q1020" s="4" t="str">
        <f t="shared" si="53"/>
        <v>六安市</v>
      </c>
      <c r="R1020" s="4">
        <f t="shared" si="51"/>
        <v>12</v>
      </c>
      <c r="S1020" s="4" t="str">
        <f t="shared" si="52"/>
        <v>安徽省</v>
      </c>
    </row>
    <row r="1021" spans="14:19">
      <c r="N1021" s="4">
        <v>1020</v>
      </c>
      <c r="O1021" s="4" t="s">
        <v>1901</v>
      </c>
      <c r="P1021" s="4">
        <v>111</v>
      </c>
      <c r="Q1021" s="4" t="str">
        <f t="shared" si="53"/>
        <v>六安市</v>
      </c>
      <c r="R1021" s="4">
        <f t="shared" si="51"/>
        <v>12</v>
      </c>
      <c r="S1021" s="4" t="str">
        <f t="shared" si="52"/>
        <v>安徽省</v>
      </c>
    </row>
    <row r="1022" spans="14:19">
      <c r="N1022" s="4">
        <v>1021</v>
      </c>
      <c r="O1022" s="4" t="s">
        <v>1902</v>
      </c>
      <c r="P1022" s="4">
        <v>111</v>
      </c>
      <c r="Q1022" s="4" t="str">
        <f t="shared" si="53"/>
        <v>六安市</v>
      </c>
      <c r="R1022" s="4">
        <f t="shared" si="51"/>
        <v>12</v>
      </c>
      <c r="S1022" s="4" t="str">
        <f t="shared" si="52"/>
        <v>安徽省</v>
      </c>
    </row>
    <row r="1023" spans="14:19">
      <c r="N1023" s="4">
        <v>1022</v>
      </c>
      <c r="O1023" s="4" t="s">
        <v>1903</v>
      </c>
      <c r="P1023" s="4">
        <v>111</v>
      </c>
      <c r="Q1023" s="4" t="str">
        <f t="shared" si="53"/>
        <v>六安市</v>
      </c>
      <c r="R1023" s="4">
        <f t="shared" si="51"/>
        <v>12</v>
      </c>
      <c r="S1023" s="4" t="str">
        <f t="shared" si="52"/>
        <v>安徽省</v>
      </c>
    </row>
    <row r="1024" spans="14:19">
      <c r="N1024" s="4">
        <v>1023</v>
      </c>
      <c r="O1024" s="4" t="s">
        <v>1904</v>
      </c>
      <c r="P1024" s="4">
        <v>111</v>
      </c>
      <c r="Q1024" s="4" t="str">
        <f t="shared" si="53"/>
        <v>六安市</v>
      </c>
      <c r="R1024" s="4">
        <f t="shared" si="51"/>
        <v>12</v>
      </c>
      <c r="S1024" s="4" t="str">
        <f t="shared" si="52"/>
        <v>安徽省</v>
      </c>
    </row>
    <row r="1025" spans="14:19">
      <c r="N1025" s="4">
        <v>1024</v>
      </c>
      <c r="O1025" s="4" t="s">
        <v>1905</v>
      </c>
      <c r="P1025" s="4">
        <v>112</v>
      </c>
      <c r="Q1025" s="4" t="str">
        <f t="shared" si="53"/>
        <v>亳州市</v>
      </c>
      <c r="R1025" s="4">
        <f t="shared" si="51"/>
        <v>12</v>
      </c>
      <c r="S1025" s="4" t="str">
        <f t="shared" si="52"/>
        <v>安徽省</v>
      </c>
    </row>
    <row r="1026" spans="14:19">
      <c r="N1026" s="4">
        <v>1025</v>
      </c>
      <c r="O1026" s="4" t="s">
        <v>1906</v>
      </c>
      <c r="P1026" s="4">
        <v>112</v>
      </c>
      <c r="Q1026" s="4" t="str">
        <f t="shared" si="53"/>
        <v>亳州市</v>
      </c>
      <c r="R1026" s="4">
        <f t="shared" ref="R1026:R1089" si="54">VLOOKUP(P1026,$I$2:$M$346,3,FALSE)</f>
        <v>12</v>
      </c>
      <c r="S1026" s="4" t="str">
        <f t="shared" ref="S1026:S1089" si="55">VLOOKUP(P1026,$I$2:$M$346,4,FALSE)</f>
        <v>安徽省</v>
      </c>
    </row>
    <row r="1027" spans="14:19">
      <c r="N1027" s="4">
        <v>1026</v>
      </c>
      <c r="O1027" s="4" t="s">
        <v>1907</v>
      </c>
      <c r="P1027" s="4">
        <v>112</v>
      </c>
      <c r="Q1027" s="4" t="str">
        <f t="shared" ref="Q1027:Q1090" si="56">VLOOKUP(P1027,$I$2:$J$346,2,FALSE)</f>
        <v>亳州市</v>
      </c>
      <c r="R1027" s="4">
        <f t="shared" si="54"/>
        <v>12</v>
      </c>
      <c r="S1027" s="4" t="str">
        <f t="shared" si="55"/>
        <v>安徽省</v>
      </c>
    </row>
    <row r="1028" spans="14:19">
      <c r="N1028" s="4">
        <v>1027</v>
      </c>
      <c r="O1028" s="4" t="s">
        <v>1908</v>
      </c>
      <c r="P1028" s="4">
        <v>112</v>
      </c>
      <c r="Q1028" s="4" t="str">
        <f t="shared" si="56"/>
        <v>亳州市</v>
      </c>
      <c r="R1028" s="4">
        <f t="shared" si="54"/>
        <v>12</v>
      </c>
      <c r="S1028" s="4" t="str">
        <f t="shared" si="55"/>
        <v>安徽省</v>
      </c>
    </row>
    <row r="1029" spans="14:19">
      <c r="N1029" s="4">
        <v>1028</v>
      </c>
      <c r="O1029" s="4" t="s">
        <v>1909</v>
      </c>
      <c r="P1029" s="4">
        <v>113</v>
      </c>
      <c r="Q1029" s="4" t="str">
        <f t="shared" si="56"/>
        <v>池州市</v>
      </c>
      <c r="R1029" s="4">
        <f t="shared" si="54"/>
        <v>12</v>
      </c>
      <c r="S1029" s="4" t="str">
        <f t="shared" si="55"/>
        <v>安徽省</v>
      </c>
    </row>
    <row r="1030" spans="14:19">
      <c r="N1030" s="4">
        <v>1029</v>
      </c>
      <c r="O1030" s="4" t="s">
        <v>1910</v>
      </c>
      <c r="P1030" s="4">
        <v>113</v>
      </c>
      <c r="Q1030" s="4" t="str">
        <f t="shared" si="56"/>
        <v>池州市</v>
      </c>
      <c r="R1030" s="4">
        <f t="shared" si="54"/>
        <v>12</v>
      </c>
      <c r="S1030" s="4" t="str">
        <f t="shared" si="55"/>
        <v>安徽省</v>
      </c>
    </row>
    <row r="1031" spans="14:19">
      <c r="N1031" s="4">
        <v>1030</v>
      </c>
      <c r="O1031" s="4" t="s">
        <v>1911</v>
      </c>
      <c r="P1031" s="4">
        <v>113</v>
      </c>
      <c r="Q1031" s="4" t="str">
        <f t="shared" si="56"/>
        <v>池州市</v>
      </c>
      <c r="R1031" s="4">
        <f t="shared" si="54"/>
        <v>12</v>
      </c>
      <c r="S1031" s="4" t="str">
        <f t="shared" si="55"/>
        <v>安徽省</v>
      </c>
    </row>
    <row r="1032" spans="14:19">
      <c r="N1032" s="4">
        <v>1031</v>
      </c>
      <c r="O1032" s="4" t="s">
        <v>1912</v>
      </c>
      <c r="P1032" s="4">
        <v>113</v>
      </c>
      <c r="Q1032" s="4" t="str">
        <f t="shared" si="56"/>
        <v>池州市</v>
      </c>
      <c r="R1032" s="4">
        <f t="shared" si="54"/>
        <v>12</v>
      </c>
      <c r="S1032" s="4" t="str">
        <f t="shared" si="55"/>
        <v>安徽省</v>
      </c>
    </row>
    <row r="1033" spans="14:19">
      <c r="N1033" s="4">
        <v>1032</v>
      </c>
      <c r="O1033" s="4" t="s">
        <v>1913</v>
      </c>
      <c r="P1033" s="4">
        <v>114</v>
      </c>
      <c r="Q1033" s="4" t="str">
        <f t="shared" si="56"/>
        <v>宣城市</v>
      </c>
      <c r="R1033" s="4">
        <f t="shared" si="54"/>
        <v>12</v>
      </c>
      <c r="S1033" s="4" t="str">
        <f t="shared" si="55"/>
        <v>安徽省</v>
      </c>
    </row>
    <row r="1034" spans="14:19">
      <c r="N1034" s="4">
        <v>1033</v>
      </c>
      <c r="O1034" s="4" t="s">
        <v>1914</v>
      </c>
      <c r="P1034" s="4">
        <v>114</v>
      </c>
      <c r="Q1034" s="4" t="str">
        <f t="shared" si="56"/>
        <v>宣城市</v>
      </c>
      <c r="R1034" s="4">
        <f t="shared" si="54"/>
        <v>12</v>
      </c>
      <c r="S1034" s="4" t="str">
        <f t="shared" si="55"/>
        <v>安徽省</v>
      </c>
    </row>
    <row r="1035" spans="14:19">
      <c r="N1035" s="4">
        <v>1034</v>
      </c>
      <c r="O1035" s="4" t="s">
        <v>1915</v>
      </c>
      <c r="P1035" s="4">
        <v>114</v>
      </c>
      <c r="Q1035" s="4" t="str">
        <f t="shared" si="56"/>
        <v>宣城市</v>
      </c>
      <c r="R1035" s="4">
        <f t="shared" si="54"/>
        <v>12</v>
      </c>
      <c r="S1035" s="4" t="str">
        <f t="shared" si="55"/>
        <v>安徽省</v>
      </c>
    </row>
    <row r="1036" spans="14:19">
      <c r="N1036" s="4">
        <v>1035</v>
      </c>
      <c r="O1036" s="4" t="s">
        <v>1916</v>
      </c>
      <c r="P1036" s="4">
        <v>114</v>
      </c>
      <c r="Q1036" s="4" t="str">
        <f t="shared" si="56"/>
        <v>宣城市</v>
      </c>
      <c r="R1036" s="4">
        <f t="shared" si="54"/>
        <v>12</v>
      </c>
      <c r="S1036" s="4" t="str">
        <f t="shared" si="55"/>
        <v>安徽省</v>
      </c>
    </row>
    <row r="1037" spans="14:19">
      <c r="N1037" s="4">
        <v>1036</v>
      </c>
      <c r="O1037" s="4" t="s">
        <v>1917</v>
      </c>
      <c r="P1037" s="4">
        <v>114</v>
      </c>
      <c r="Q1037" s="4" t="str">
        <f t="shared" si="56"/>
        <v>宣城市</v>
      </c>
      <c r="R1037" s="4">
        <f t="shared" si="54"/>
        <v>12</v>
      </c>
      <c r="S1037" s="4" t="str">
        <f t="shared" si="55"/>
        <v>安徽省</v>
      </c>
    </row>
    <row r="1038" spans="14:19">
      <c r="N1038" s="4">
        <v>1037</v>
      </c>
      <c r="O1038" s="4" t="s">
        <v>1918</v>
      </c>
      <c r="P1038" s="4">
        <v>114</v>
      </c>
      <c r="Q1038" s="4" t="str">
        <f t="shared" si="56"/>
        <v>宣城市</v>
      </c>
      <c r="R1038" s="4">
        <f t="shared" si="54"/>
        <v>12</v>
      </c>
      <c r="S1038" s="4" t="str">
        <f t="shared" si="55"/>
        <v>安徽省</v>
      </c>
    </row>
    <row r="1039" spans="14:19">
      <c r="N1039" s="4">
        <v>1038</v>
      </c>
      <c r="O1039" s="4" t="s">
        <v>1919</v>
      </c>
      <c r="P1039" s="4">
        <v>114</v>
      </c>
      <c r="Q1039" s="4" t="str">
        <f t="shared" si="56"/>
        <v>宣城市</v>
      </c>
      <c r="R1039" s="4">
        <f t="shared" si="54"/>
        <v>12</v>
      </c>
      <c r="S1039" s="4" t="str">
        <f t="shared" si="55"/>
        <v>安徽省</v>
      </c>
    </row>
    <row r="1040" spans="14:19">
      <c r="N1040" s="4">
        <v>1039</v>
      </c>
      <c r="O1040" s="4" t="s">
        <v>1629</v>
      </c>
      <c r="P1040" s="4">
        <v>115</v>
      </c>
      <c r="Q1040" s="4" t="str">
        <f t="shared" si="56"/>
        <v>福州市</v>
      </c>
      <c r="R1040" s="4">
        <f t="shared" si="54"/>
        <v>13</v>
      </c>
      <c r="S1040" s="4" t="str">
        <f t="shared" si="55"/>
        <v>福建省</v>
      </c>
    </row>
    <row r="1041" spans="14:19">
      <c r="N1041" s="4">
        <v>1040</v>
      </c>
      <c r="O1041" s="4" t="s">
        <v>1920</v>
      </c>
      <c r="P1041" s="4">
        <v>115</v>
      </c>
      <c r="Q1041" s="4" t="str">
        <f t="shared" si="56"/>
        <v>福州市</v>
      </c>
      <c r="R1041" s="4">
        <f t="shared" si="54"/>
        <v>13</v>
      </c>
      <c r="S1041" s="4" t="str">
        <f t="shared" si="55"/>
        <v>福建省</v>
      </c>
    </row>
    <row r="1042" spans="14:19">
      <c r="N1042" s="4">
        <v>1041</v>
      </c>
      <c r="O1042" s="4" t="s">
        <v>1921</v>
      </c>
      <c r="P1042" s="4">
        <v>115</v>
      </c>
      <c r="Q1042" s="4" t="str">
        <f t="shared" si="56"/>
        <v>福州市</v>
      </c>
      <c r="R1042" s="4">
        <f t="shared" si="54"/>
        <v>13</v>
      </c>
      <c r="S1042" s="4" t="str">
        <f t="shared" si="55"/>
        <v>福建省</v>
      </c>
    </row>
    <row r="1043" spans="14:19">
      <c r="N1043" s="4">
        <v>1042</v>
      </c>
      <c r="O1043" s="4" t="s">
        <v>1922</v>
      </c>
      <c r="P1043" s="4">
        <v>115</v>
      </c>
      <c r="Q1043" s="4" t="str">
        <f t="shared" si="56"/>
        <v>福州市</v>
      </c>
      <c r="R1043" s="4">
        <f t="shared" si="54"/>
        <v>13</v>
      </c>
      <c r="S1043" s="4" t="str">
        <f t="shared" si="55"/>
        <v>福建省</v>
      </c>
    </row>
    <row r="1044" spans="14:19">
      <c r="N1044" s="4">
        <v>1043</v>
      </c>
      <c r="O1044" s="4" t="s">
        <v>1923</v>
      </c>
      <c r="P1044" s="4">
        <v>115</v>
      </c>
      <c r="Q1044" s="4" t="str">
        <f t="shared" si="56"/>
        <v>福州市</v>
      </c>
      <c r="R1044" s="4">
        <f t="shared" si="54"/>
        <v>13</v>
      </c>
      <c r="S1044" s="4" t="str">
        <f t="shared" si="55"/>
        <v>福建省</v>
      </c>
    </row>
    <row r="1045" spans="14:19">
      <c r="N1045" s="4">
        <v>1044</v>
      </c>
      <c r="O1045" s="4" t="s">
        <v>1924</v>
      </c>
      <c r="P1045" s="4">
        <v>115</v>
      </c>
      <c r="Q1045" s="4" t="str">
        <f t="shared" si="56"/>
        <v>福州市</v>
      </c>
      <c r="R1045" s="4">
        <f t="shared" si="54"/>
        <v>13</v>
      </c>
      <c r="S1045" s="4" t="str">
        <f t="shared" si="55"/>
        <v>福建省</v>
      </c>
    </row>
    <row r="1046" spans="14:19">
      <c r="N1046" s="4">
        <v>1045</v>
      </c>
      <c r="O1046" s="4" t="s">
        <v>1925</v>
      </c>
      <c r="P1046" s="4">
        <v>115</v>
      </c>
      <c r="Q1046" s="4" t="str">
        <f t="shared" si="56"/>
        <v>福州市</v>
      </c>
      <c r="R1046" s="4">
        <f t="shared" si="54"/>
        <v>13</v>
      </c>
      <c r="S1046" s="4" t="str">
        <f t="shared" si="55"/>
        <v>福建省</v>
      </c>
    </row>
    <row r="1047" spans="14:19">
      <c r="N1047" s="4">
        <v>1046</v>
      </c>
      <c r="O1047" s="4" t="s">
        <v>1926</v>
      </c>
      <c r="P1047" s="4">
        <v>115</v>
      </c>
      <c r="Q1047" s="4" t="str">
        <f t="shared" si="56"/>
        <v>福州市</v>
      </c>
      <c r="R1047" s="4">
        <f t="shared" si="54"/>
        <v>13</v>
      </c>
      <c r="S1047" s="4" t="str">
        <f t="shared" si="55"/>
        <v>福建省</v>
      </c>
    </row>
    <row r="1048" spans="14:19">
      <c r="N1048" s="4">
        <v>1047</v>
      </c>
      <c r="O1048" s="4" t="s">
        <v>1927</v>
      </c>
      <c r="P1048" s="4">
        <v>115</v>
      </c>
      <c r="Q1048" s="4" t="str">
        <f t="shared" si="56"/>
        <v>福州市</v>
      </c>
      <c r="R1048" s="4">
        <f t="shared" si="54"/>
        <v>13</v>
      </c>
      <c r="S1048" s="4" t="str">
        <f t="shared" si="55"/>
        <v>福建省</v>
      </c>
    </row>
    <row r="1049" spans="14:19">
      <c r="N1049" s="4">
        <v>1048</v>
      </c>
      <c r="O1049" s="4" t="s">
        <v>1928</v>
      </c>
      <c r="P1049" s="4">
        <v>115</v>
      </c>
      <c r="Q1049" s="4" t="str">
        <f t="shared" si="56"/>
        <v>福州市</v>
      </c>
      <c r="R1049" s="4">
        <f t="shared" si="54"/>
        <v>13</v>
      </c>
      <c r="S1049" s="4" t="str">
        <f t="shared" si="55"/>
        <v>福建省</v>
      </c>
    </row>
    <row r="1050" spans="14:19">
      <c r="N1050" s="4">
        <v>1049</v>
      </c>
      <c r="O1050" s="4" t="s">
        <v>1929</v>
      </c>
      <c r="P1050" s="4">
        <v>115</v>
      </c>
      <c r="Q1050" s="4" t="str">
        <f t="shared" si="56"/>
        <v>福州市</v>
      </c>
      <c r="R1050" s="4">
        <f t="shared" si="54"/>
        <v>13</v>
      </c>
      <c r="S1050" s="4" t="str">
        <f t="shared" si="55"/>
        <v>福建省</v>
      </c>
    </row>
    <row r="1051" spans="14:19">
      <c r="N1051" s="4">
        <v>1050</v>
      </c>
      <c r="O1051" s="4" t="s">
        <v>1930</v>
      </c>
      <c r="P1051" s="4">
        <v>115</v>
      </c>
      <c r="Q1051" s="4" t="str">
        <f t="shared" si="56"/>
        <v>福州市</v>
      </c>
      <c r="R1051" s="4">
        <f t="shared" si="54"/>
        <v>13</v>
      </c>
      <c r="S1051" s="4" t="str">
        <f t="shared" si="55"/>
        <v>福建省</v>
      </c>
    </row>
    <row r="1052" spans="14:19">
      <c r="N1052" s="4">
        <v>1051</v>
      </c>
      <c r="O1052" s="4" t="s">
        <v>1931</v>
      </c>
      <c r="P1052" s="4">
        <v>115</v>
      </c>
      <c r="Q1052" s="4" t="str">
        <f t="shared" si="56"/>
        <v>福州市</v>
      </c>
      <c r="R1052" s="4">
        <f t="shared" si="54"/>
        <v>13</v>
      </c>
      <c r="S1052" s="4" t="str">
        <f t="shared" si="55"/>
        <v>福建省</v>
      </c>
    </row>
    <row r="1053" spans="14:19">
      <c r="N1053" s="4">
        <v>1052</v>
      </c>
      <c r="O1053" s="4" t="s">
        <v>1932</v>
      </c>
      <c r="P1053" s="4">
        <v>116</v>
      </c>
      <c r="Q1053" s="4" t="str">
        <f t="shared" si="56"/>
        <v>厦门市</v>
      </c>
      <c r="R1053" s="4">
        <f t="shared" si="54"/>
        <v>13</v>
      </c>
      <c r="S1053" s="4" t="str">
        <f t="shared" si="55"/>
        <v>福建省</v>
      </c>
    </row>
    <row r="1054" spans="14:19">
      <c r="N1054" s="4">
        <v>1053</v>
      </c>
      <c r="O1054" s="4" t="s">
        <v>1933</v>
      </c>
      <c r="P1054" s="4">
        <v>116</v>
      </c>
      <c r="Q1054" s="4" t="str">
        <f t="shared" si="56"/>
        <v>厦门市</v>
      </c>
      <c r="R1054" s="4">
        <f t="shared" si="54"/>
        <v>13</v>
      </c>
      <c r="S1054" s="4" t="str">
        <f t="shared" si="55"/>
        <v>福建省</v>
      </c>
    </row>
    <row r="1055" spans="14:19">
      <c r="N1055" s="4">
        <v>1054</v>
      </c>
      <c r="O1055" s="4" t="s">
        <v>1934</v>
      </c>
      <c r="P1055" s="4">
        <v>116</v>
      </c>
      <c r="Q1055" s="4" t="str">
        <f t="shared" si="56"/>
        <v>厦门市</v>
      </c>
      <c r="R1055" s="4">
        <f t="shared" si="54"/>
        <v>13</v>
      </c>
      <c r="S1055" s="4" t="str">
        <f t="shared" si="55"/>
        <v>福建省</v>
      </c>
    </row>
    <row r="1056" spans="14:19">
      <c r="N1056" s="4">
        <v>1055</v>
      </c>
      <c r="O1056" s="4" t="s">
        <v>1935</v>
      </c>
      <c r="P1056" s="4">
        <v>116</v>
      </c>
      <c r="Q1056" s="4" t="str">
        <f t="shared" si="56"/>
        <v>厦门市</v>
      </c>
      <c r="R1056" s="4">
        <f t="shared" si="54"/>
        <v>13</v>
      </c>
      <c r="S1056" s="4" t="str">
        <f t="shared" si="55"/>
        <v>福建省</v>
      </c>
    </row>
    <row r="1057" spans="14:19">
      <c r="N1057" s="4">
        <v>1056</v>
      </c>
      <c r="O1057" s="4" t="s">
        <v>1936</v>
      </c>
      <c r="P1057" s="4">
        <v>116</v>
      </c>
      <c r="Q1057" s="4" t="str">
        <f t="shared" si="56"/>
        <v>厦门市</v>
      </c>
      <c r="R1057" s="4">
        <f t="shared" si="54"/>
        <v>13</v>
      </c>
      <c r="S1057" s="4" t="str">
        <f t="shared" si="55"/>
        <v>福建省</v>
      </c>
    </row>
    <row r="1058" spans="14:19">
      <c r="N1058" s="4">
        <v>1057</v>
      </c>
      <c r="O1058" s="4" t="s">
        <v>1937</v>
      </c>
      <c r="P1058" s="4">
        <v>116</v>
      </c>
      <c r="Q1058" s="4" t="str">
        <f t="shared" si="56"/>
        <v>厦门市</v>
      </c>
      <c r="R1058" s="4">
        <f t="shared" si="54"/>
        <v>13</v>
      </c>
      <c r="S1058" s="4" t="str">
        <f t="shared" si="55"/>
        <v>福建省</v>
      </c>
    </row>
    <row r="1059" spans="14:19">
      <c r="N1059" s="4">
        <v>1058</v>
      </c>
      <c r="O1059" s="4" t="s">
        <v>1938</v>
      </c>
      <c r="P1059" s="4">
        <v>117</v>
      </c>
      <c r="Q1059" s="4" t="str">
        <f t="shared" si="56"/>
        <v>莆田市</v>
      </c>
      <c r="R1059" s="4">
        <f t="shared" si="54"/>
        <v>13</v>
      </c>
      <c r="S1059" s="4" t="str">
        <f t="shared" si="55"/>
        <v>福建省</v>
      </c>
    </row>
    <row r="1060" spans="14:19">
      <c r="N1060" s="4">
        <v>1059</v>
      </c>
      <c r="O1060" s="4" t="s">
        <v>1939</v>
      </c>
      <c r="P1060" s="4">
        <v>117</v>
      </c>
      <c r="Q1060" s="4" t="str">
        <f t="shared" si="56"/>
        <v>莆田市</v>
      </c>
      <c r="R1060" s="4">
        <f t="shared" si="54"/>
        <v>13</v>
      </c>
      <c r="S1060" s="4" t="str">
        <f t="shared" si="55"/>
        <v>福建省</v>
      </c>
    </row>
    <row r="1061" spans="14:19">
      <c r="N1061" s="4">
        <v>1060</v>
      </c>
      <c r="O1061" s="4" t="s">
        <v>1940</v>
      </c>
      <c r="P1061" s="4">
        <v>117</v>
      </c>
      <c r="Q1061" s="4" t="str">
        <f t="shared" si="56"/>
        <v>莆田市</v>
      </c>
      <c r="R1061" s="4">
        <f t="shared" si="54"/>
        <v>13</v>
      </c>
      <c r="S1061" s="4" t="str">
        <f t="shared" si="55"/>
        <v>福建省</v>
      </c>
    </row>
    <row r="1062" spans="14:19">
      <c r="N1062" s="4">
        <v>1061</v>
      </c>
      <c r="O1062" s="4" t="s">
        <v>1941</v>
      </c>
      <c r="P1062" s="4">
        <v>117</v>
      </c>
      <c r="Q1062" s="4" t="str">
        <f t="shared" si="56"/>
        <v>莆田市</v>
      </c>
      <c r="R1062" s="4">
        <f t="shared" si="54"/>
        <v>13</v>
      </c>
      <c r="S1062" s="4" t="str">
        <f t="shared" si="55"/>
        <v>福建省</v>
      </c>
    </row>
    <row r="1063" spans="14:19">
      <c r="N1063" s="4">
        <v>1062</v>
      </c>
      <c r="O1063" s="4" t="s">
        <v>1942</v>
      </c>
      <c r="P1063" s="4">
        <v>117</v>
      </c>
      <c r="Q1063" s="4" t="str">
        <f t="shared" si="56"/>
        <v>莆田市</v>
      </c>
      <c r="R1063" s="4">
        <f t="shared" si="54"/>
        <v>13</v>
      </c>
      <c r="S1063" s="4" t="str">
        <f t="shared" si="55"/>
        <v>福建省</v>
      </c>
    </row>
    <row r="1064" spans="14:19">
      <c r="N1064" s="4">
        <v>1063</v>
      </c>
      <c r="O1064" s="4" t="s">
        <v>1943</v>
      </c>
      <c r="P1064" s="4">
        <v>118</v>
      </c>
      <c r="Q1064" s="4" t="str">
        <f t="shared" si="56"/>
        <v>三明市</v>
      </c>
      <c r="R1064" s="4">
        <f t="shared" si="54"/>
        <v>13</v>
      </c>
      <c r="S1064" s="4" t="str">
        <f t="shared" si="55"/>
        <v>福建省</v>
      </c>
    </row>
    <row r="1065" spans="14:19">
      <c r="N1065" s="4">
        <v>1064</v>
      </c>
      <c r="O1065" s="4" t="s">
        <v>1944</v>
      </c>
      <c r="P1065" s="4">
        <v>118</v>
      </c>
      <c r="Q1065" s="4" t="str">
        <f t="shared" si="56"/>
        <v>三明市</v>
      </c>
      <c r="R1065" s="4">
        <f t="shared" si="54"/>
        <v>13</v>
      </c>
      <c r="S1065" s="4" t="str">
        <f t="shared" si="55"/>
        <v>福建省</v>
      </c>
    </row>
    <row r="1066" spans="14:19">
      <c r="N1066" s="4">
        <v>1065</v>
      </c>
      <c r="O1066" s="4" t="s">
        <v>1945</v>
      </c>
      <c r="P1066" s="4">
        <v>118</v>
      </c>
      <c r="Q1066" s="4" t="str">
        <f t="shared" si="56"/>
        <v>三明市</v>
      </c>
      <c r="R1066" s="4">
        <f t="shared" si="54"/>
        <v>13</v>
      </c>
      <c r="S1066" s="4" t="str">
        <f t="shared" si="55"/>
        <v>福建省</v>
      </c>
    </row>
    <row r="1067" spans="14:19">
      <c r="N1067" s="4">
        <v>1066</v>
      </c>
      <c r="O1067" s="4" t="s">
        <v>1946</v>
      </c>
      <c r="P1067" s="4">
        <v>118</v>
      </c>
      <c r="Q1067" s="4" t="str">
        <f t="shared" si="56"/>
        <v>三明市</v>
      </c>
      <c r="R1067" s="4">
        <f t="shared" si="54"/>
        <v>13</v>
      </c>
      <c r="S1067" s="4" t="str">
        <f t="shared" si="55"/>
        <v>福建省</v>
      </c>
    </row>
    <row r="1068" spans="14:19">
      <c r="N1068" s="4">
        <v>1067</v>
      </c>
      <c r="O1068" s="4" t="s">
        <v>1947</v>
      </c>
      <c r="P1068" s="4">
        <v>118</v>
      </c>
      <c r="Q1068" s="4" t="str">
        <f t="shared" si="56"/>
        <v>三明市</v>
      </c>
      <c r="R1068" s="4">
        <f t="shared" si="54"/>
        <v>13</v>
      </c>
      <c r="S1068" s="4" t="str">
        <f t="shared" si="55"/>
        <v>福建省</v>
      </c>
    </row>
    <row r="1069" spans="14:19">
      <c r="N1069" s="4">
        <v>1068</v>
      </c>
      <c r="O1069" s="4" t="s">
        <v>1948</v>
      </c>
      <c r="P1069" s="4">
        <v>118</v>
      </c>
      <c r="Q1069" s="4" t="str">
        <f t="shared" si="56"/>
        <v>三明市</v>
      </c>
      <c r="R1069" s="4">
        <f t="shared" si="54"/>
        <v>13</v>
      </c>
      <c r="S1069" s="4" t="str">
        <f t="shared" si="55"/>
        <v>福建省</v>
      </c>
    </row>
    <row r="1070" spans="14:19">
      <c r="N1070" s="4">
        <v>1069</v>
      </c>
      <c r="O1070" s="4" t="s">
        <v>1949</v>
      </c>
      <c r="P1070" s="4">
        <v>118</v>
      </c>
      <c r="Q1070" s="4" t="str">
        <f t="shared" si="56"/>
        <v>三明市</v>
      </c>
      <c r="R1070" s="4">
        <f t="shared" si="54"/>
        <v>13</v>
      </c>
      <c r="S1070" s="4" t="str">
        <f t="shared" si="55"/>
        <v>福建省</v>
      </c>
    </row>
    <row r="1071" spans="14:19">
      <c r="N1071" s="4">
        <v>1070</v>
      </c>
      <c r="O1071" s="4" t="s">
        <v>1950</v>
      </c>
      <c r="P1071" s="4">
        <v>118</v>
      </c>
      <c r="Q1071" s="4" t="str">
        <f t="shared" si="56"/>
        <v>三明市</v>
      </c>
      <c r="R1071" s="4">
        <f t="shared" si="54"/>
        <v>13</v>
      </c>
      <c r="S1071" s="4" t="str">
        <f t="shared" si="55"/>
        <v>福建省</v>
      </c>
    </row>
    <row r="1072" spans="14:19">
      <c r="N1072" s="4">
        <v>1071</v>
      </c>
      <c r="O1072" s="4" t="s">
        <v>1951</v>
      </c>
      <c r="P1072" s="4">
        <v>118</v>
      </c>
      <c r="Q1072" s="4" t="str">
        <f t="shared" si="56"/>
        <v>三明市</v>
      </c>
      <c r="R1072" s="4">
        <f t="shared" si="54"/>
        <v>13</v>
      </c>
      <c r="S1072" s="4" t="str">
        <f t="shared" si="55"/>
        <v>福建省</v>
      </c>
    </row>
    <row r="1073" spans="14:19">
      <c r="N1073" s="4">
        <v>1072</v>
      </c>
      <c r="O1073" s="4" t="s">
        <v>1952</v>
      </c>
      <c r="P1073" s="4">
        <v>118</v>
      </c>
      <c r="Q1073" s="4" t="str">
        <f t="shared" si="56"/>
        <v>三明市</v>
      </c>
      <c r="R1073" s="4">
        <f t="shared" si="54"/>
        <v>13</v>
      </c>
      <c r="S1073" s="4" t="str">
        <f t="shared" si="55"/>
        <v>福建省</v>
      </c>
    </row>
    <row r="1074" spans="14:19">
      <c r="N1074" s="4">
        <v>1073</v>
      </c>
      <c r="O1074" s="4" t="s">
        <v>1953</v>
      </c>
      <c r="P1074" s="4">
        <v>118</v>
      </c>
      <c r="Q1074" s="4" t="str">
        <f t="shared" si="56"/>
        <v>三明市</v>
      </c>
      <c r="R1074" s="4">
        <f t="shared" si="54"/>
        <v>13</v>
      </c>
      <c r="S1074" s="4" t="str">
        <f t="shared" si="55"/>
        <v>福建省</v>
      </c>
    </row>
    <row r="1075" spans="14:19">
      <c r="N1075" s="4">
        <v>1074</v>
      </c>
      <c r="O1075" s="4" t="s">
        <v>1954</v>
      </c>
      <c r="P1075" s="4">
        <v>118</v>
      </c>
      <c r="Q1075" s="4" t="str">
        <f t="shared" si="56"/>
        <v>三明市</v>
      </c>
      <c r="R1075" s="4">
        <f t="shared" si="54"/>
        <v>13</v>
      </c>
      <c r="S1075" s="4" t="str">
        <f t="shared" si="55"/>
        <v>福建省</v>
      </c>
    </row>
    <row r="1076" spans="14:19">
      <c r="N1076" s="4">
        <v>1075</v>
      </c>
      <c r="O1076" s="4" t="s">
        <v>1955</v>
      </c>
      <c r="P1076" s="4">
        <v>119</v>
      </c>
      <c r="Q1076" s="4" t="str">
        <f t="shared" si="56"/>
        <v>泉州市</v>
      </c>
      <c r="R1076" s="4">
        <f t="shared" si="54"/>
        <v>13</v>
      </c>
      <c r="S1076" s="4" t="str">
        <f t="shared" si="55"/>
        <v>福建省</v>
      </c>
    </row>
    <row r="1077" spans="14:19">
      <c r="N1077" s="4">
        <v>1076</v>
      </c>
      <c r="O1077" s="4" t="s">
        <v>1956</v>
      </c>
      <c r="P1077" s="4">
        <v>119</v>
      </c>
      <c r="Q1077" s="4" t="str">
        <f t="shared" si="56"/>
        <v>泉州市</v>
      </c>
      <c r="R1077" s="4">
        <f t="shared" si="54"/>
        <v>13</v>
      </c>
      <c r="S1077" s="4" t="str">
        <f t="shared" si="55"/>
        <v>福建省</v>
      </c>
    </row>
    <row r="1078" spans="14:19">
      <c r="N1078" s="4">
        <v>1077</v>
      </c>
      <c r="O1078" s="4" t="s">
        <v>1957</v>
      </c>
      <c r="P1078" s="4">
        <v>119</v>
      </c>
      <c r="Q1078" s="4" t="str">
        <f t="shared" si="56"/>
        <v>泉州市</v>
      </c>
      <c r="R1078" s="4">
        <f t="shared" si="54"/>
        <v>13</v>
      </c>
      <c r="S1078" s="4" t="str">
        <f t="shared" si="55"/>
        <v>福建省</v>
      </c>
    </row>
    <row r="1079" spans="14:19">
      <c r="N1079" s="4">
        <v>1078</v>
      </c>
      <c r="O1079" s="4" t="s">
        <v>1958</v>
      </c>
      <c r="P1079" s="4">
        <v>119</v>
      </c>
      <c r="Q1079" s="4" t="str">
        <f t="shared" si="56"/>
        <v>泉州市</v>
      </c>
      <c r="R1079" s="4">
        <f t="shared" si="54"/>
        <v>13</v>
      </c>
      <c r="S1079" s="4" t="str">
        <f t="shared" si="55"/>
        <v>福建省</v>
      </c>
    </row>
    <row r="1080" spans="14:19">
      <c r="N1080" s="4">
        <v>1079</v>
      </c>
      <c r="O1080" s="4" t="s">
        <v>1959</v>
      </c>
      <c r="P1080" s="4">
        <v>119</v>
      </c>
      <c r="Q1080" s="4" t="str">
        <f t="shared" si="56"/>
        <v>泉州市</v>
      </c>
      <c r="R1080" s="4">
        <f t="shared" si="54"/>
        <v>13</v>
      </c>
      <c r="S1080" s="4" t="str">
        <f t="shared" si="55"/>
        <v>福建省</v>
      </c>
    </row>
    <row r="1081" spans="14:19">
      <c r="N1081" s="4">
        <v>1080</v>
      </c>
      <c r="O1081" s="4" t="s">
        <v>1960</v>
      </c>
      <c r="P1081" s="4">
        <v>119</v>
      </c>
      <c r="Q1081" s="4" t="str">
        <f t="shared" si="56"/>
        <v>泉州市</v>
      </c>
      <c r="R1081" s="4">
        <f t="shared" si="54"/>
        <v>13</v>
      </c>
      <c r="S1081" s="4" t="str">
        <f t="shared" si="55"/>
        <v>福建省</v>
      </c>
    </row>
    <row r="1082" spans="14:19">
      <c r="N1082" s="4">
        <v>1081</v>
      </c>
      <c r="O1082" s="4" t="s">
        <v>1961</v>
      </c>
      <c r="P1082" s="4">
        <v>119</v>
      </c>
      <c r="Q1082" s="4" t="str">
        <f t="shared" si="56"/>
        <v>泉州市</v>
      </c>
      <c r="R1082" s="4">
        <f t="shared" si="54"/>
        <v>13</v>
      </c>
      <c r="S1082" s="4" t="str">
        <f t="shared" si="55"/>
        <v>福建省</v>
      </c>
    </row>
    <row r="1083" spans="14:19">
      <c r="N1083" s="4">
        <v>1082</v>
      </c>
      <c r="O1083" s="4" t="s">
        <v>1962</v>
      </c>
      <c r="P1083" s="4">
        <v>119</v>
      </c>
      <c r="Q1083" s="4" t="str">
        <f t="shared" si="56"/>
        <v>泉州市</v>
      </c>
      <c r="R1083" s="4">
        <f t="shared" si="54"/>
        <v>13</v>
      </c>
      <c r="S1083" s="4" t="str">
        <f t="shared" si="55"/>
        <v>福建省</v>
      </c>
    </row>
    <row r="1084" spans="14:19">
      <c r="N1084" s="4">
        <v>1083</v>
      </c>
      <c r="O1084" s="4" t="s">
        <v>1963</v>
      </c>
      <c r="P1084" s="4">
        <v>119</v>
      </c>
      <c r="Q1084" s="4" t="str">
        <f t="shared" si="56"/>
        <v>泉州市</v>
      </c>
      <c r="R1084" s="4">
        <f t="shared" si="54"/>
        <v>13</v>
      </c>
      <c r="S1084" s="4" t="str">
        <f t="shared" si="55"/>
        <v>福建省</v>
      </c>
    </row>
    <row r="1085" spans="14:19">
      <c r="N1085" s="4">
        <v>1084</v>
      </c>
      <c r="O1085" s="4" t="s">
        <v>1964</v>
      </c>
      <c r="P1085" s="4">
        <v>119</v>
      </c>
      <c r="Q1085" s="4" t="str">
        <f t="shared" si="56"/>
        <v>泉州市</v>
      </c>
      <c r="R1085" s="4">
        <f t="shared" si="54"/>
        <v>13</v>
      </c>
      <c r="S1085" s="4" t="str">
        <f t="shared" si="55"/>
        <v>福建省</v>
      </c>
    </row>
    <row r="1086" spans="14:19">
      <c r="N1086" s="4">
        <v>1085</v>
      </c>
      <c r="O1086" s="4" t="s">
        <v>1965</v>
      </c>
      <c r="P1086" s="4">
        <v>119</v>
      </c>
      <c r="Q1086" s="4" t="str">
        <f t="shared" si="56"/>
        <v>泉州市</v>
      </c>
      <c r="R1086" s="4">
        <f t="shared" si="54"/>
        <v>13</v>
      </c>
      <c r="S1086" s="4" t="str">
        <f t="shared" si="55"/>
        <v>福建省</v>
      </c>
    </row>
    <row r="1087" spans="14:19">
      <c r="N1087" s="4">
        <v>1086</v>
      </c>
      <c r="O1087" s="4" t="s">
        <v>1966</v>
      </c>
      <c r="P1087" s="4">
        <v>119</v>
      </c>
      <c r="Q1087" s="4" t="str">
        <f t="shared" si="56"/>
        <v>泉州市</v>
      </c>
      <c r="R1087" s="4">
        <f t="shared" si="54"/>
        <v>13</v>
      </c>
      <c r="S1087" s="4" t="str">
        <f t="shared" si="55"/>
        <v>福建省</v>
      </c>
    </row>
    <row r="1088" spans="14:19">
      <c r="N1088" s="4">
        <v>1087</v>
      </c>
      <c r="O1088" s="4" t="s">
        <v>1967</v>
      </c>
      <c r="P1088" s="4">
        <v>120</v>
      </c>
      <c r="Q1088" s="4" t="str">
        <f t="shared" si="56"/>
        <v>漳州市</v>
      </c>
      <c r="R1088" s="4">
        <f t="shared" si="54"/>
        <v>13</v>
      </c>
      <c r="S1088" s="4" t="str">
        <f t="shared" si="55"/>
        <v>福建省</v>
      </c>
    </row>
    <row r="1089" spans="14:19">
      <c r="N1089" s="4">
        <v>1088</v>
      </c>
      <c r="O1089" s="4" t="s">
        <v>1968</v>
      </c>
      <c r="P1089" s="4">
        <v>120</v>
      </c>
      <c r="Q1089" s="4" t="str">
        <f t="shared" si="56"/>
        <v>漳州市</v>
      </c>
      <c r="R1089" s="4">
        <f t="shared" si="54"/>
        <v>13</v>
      </c>
      <c r="S1089" s="4" t="str">
        <f t="shared" si="55"/>
        <v>福建省</v>
      </c>
    </row>
    <row r="1090" spans="14:19">
      <c r="N1090" s="4">
        <v>1089</v>
      </c>
      <c r="O1090" s="4" t="s">
        <v>1969</v>
      </c>
      <c r="P1090" s="4">
        <v>120</v>
      </c>
      <c r="Q1090" s="4" t="str">
        <f t="shared" si="56"/>
        <v>漳州市</v>
      </c>
      <c r="R1090" s="4">
        <f t="shared" ref="R1090:R1153" si="57">VLOOKUP(P1090,$I$2:$M$346,3,FALSE)</f>
        <v>13</v>
      </c>
      <c r="S1090" s="4" t="str">
        <f t="shared" ref="S1090:S1153" si="58">VLOOKUP(P1090,$I$2:$M$346,4,FALSE)</f>
        <v>福建省</v>
      </c>
    </row>
    <row r="1091" spans="14:19">
      <c r="N1091" s="4">
        <v>1090</v>
      </c>
      <c r="O1091" s="4" t="s">
        <v>1970</v>
      </c>
      <c r="P1091" s="4">
        <v>120</v>
      </c>
      <c r="Q1091" s="4" t="str">
        <f t="shared" ref="Q1091:Q1154" si="59">VLOOKUP(P1091,$I$2:$J$346,2,FALSE)</f>
        <v>漳州市</v>
      </c>
      <c r="R1091" s="4">
        <f t="shared" si="57"/>
        <v>13</v>
      </c>
      <c r="S1091" s="4" t="str">
        <f t="shared" si="58"/>
        <v>福建省</v>
      </c>
    </row>
    <row r="1092" spans="14:19">
      <c r="N1092" s="4">
        <v>1091</v>
      </c>
      <c r="O1092" s="4" t="s">
        <v>1971</v>
      </c>
      <c r="P1092" s="4">
        <v>120</v>
      </c>
      <c r="Q1092" s="4" t="str">
        <f t="shared" si="59"/>
        <v>漳州市</v>
      </c>
      <c r="R1092" s="4">
        <f t="shared" si="57"/>
        <v>13</v>
      </c>
      <c r="S1092" s="4" t="str">
        <f t="shared" si="58"/>
        <v>福建省</v>
      </c>
    </row>
    <row r="1093" spans="14:19">
      <c r="N1093" s="4">
        <v>1092</v>
      </c>
      <c r="O1093" s="4" t="s">
        <v>1972</v>
      </c>
      <c r="P1093" s="4">
        <v>120</v>
      </c>
      <c r="Q1093" s="4" t="str">
        <f t="shared" si="59"/>
        <v>漳州市</v>
      </c>
      <c r="R1093" s="4">
        <f t="shared" si="57"/>
        <v>13</v>
      </c>
      <c r="S1093" s="4" t="str">
        <f t="shared" si="58"/>
        <v>福建省</v>
      </c>
    </row>
    <row r="1094" spans="14:19">
      <c r="N1094" s="4">
        <v>1093</v>
      </c>
      <c r="O1094" s="4" t="s">
        <v>1973</v>
      </c>
      <c r="P1094" s="4">
        <v>120</v>
      </c>
      <c r="Q1094" s="4" t="str">
        <f t="shared" si="59"/>
        <v>漳州市</v>
      </c>
      <c r="R1094" s="4">
        <f t="shared" si="57"/>
        <v>13</v>
      </c>
      <c r="S1094" s="4" t="str">
        <f t="shared" si="58"/>
        <v>福建省</v>
      </c>
    </row>
    <row r="1095" spans="14:19">
      <c r="N1095" s="4">
        <v>1094</v>
      </c>
      <c r="O1095" s="4" t="s">
        <v>1974</v>
      </c>
      <c r="P1095" s="4">
        <v>120</v>
      </c>
      <c r="Q1095" s="4" t="str">
        <f t="shared" si="59"/>
        <v>漳州市</v>
      </c>
      <c r="R1095" s="4">
        <f t="shared" si="57"/>
        <v>13</v>
      </c>
      <c r="S1095" s="4" t="str">
        <f t="shared" si="58"/>
        <v>福建省</v>
      </c>
    </row>
    <row r="1096" spans="14:19">
      <c r="N1096" s="4">
        <v>1095</v>
      </c>
      <c r="O1096" s="4" t="s">
        <v>1975</v>
      </c>
      <c r="P1096" s="4">
        <v>120</v>
      </c>
      <c r="Q1096" s="4" t="str">
        <f t="shared" si="59"/>
        <v>漳州市</v>
      </c>
      <c r="R1096" s="4">
        <f t="shared" si="57"/>
        <v>13</v>
      </c>
      <c r="S1096" s="4" t="str">
        <f t="shared" si="58"/>
        <v>福建省</v>
      </c>
    </row>
    <row r="1097" spans="14:19">
      <c r="N1097" s="4">
        <v>1096</v>
      </c>
      <c r="O1097" s="4" t="s">
        <v>1976</v>
      </c>
      <c r="P1097" s="4">
        <v>120</v>
      </c>
      <c r="Q1097" s="4" t="str">
        <f t="shared" si="59"/>
        <v>漳州市</v>
      </c>
      <c r="R1097" s="4">
        <f t="shared" si="57"/>
        <v>13</v>
      </c>
      <c r="S1097" s="4" t="str">
        <f t="shared" si="58"/>
        <v>福建省</v>
      </c>
    </row>
    <row r="1098" spans="14:19">
      <c r="N1098" s="4">
        <v>1097</v>
      </c>
      <c r="O1098" s="4" t="s">
        <v>1977</v>
      </c>
      <c r="P1098" s="4">
        <v>120</v>
      </c>
      <c r="Q1098" s="4" t="str">
        <f t="shared" si="59"/>
        <v>漳州市</v>
      </c>
      <c r="R1098" s="4">
        <f t="shared" si="57"/>
        <v>13</v>
      </c>
      <c r="S1098" s="4" t="str">
        <f t="shared" si="58"/>
        <v>福建省</v>
      </c>
    </row>
    <row r="1099" spans="14:19">
      <c r="N1099" s="4">
        <v>1098</v>
      </c>
      <c r="O1099" s="4" t="s">
        <v>1978</v>
      </c>
      <c r="P1099" s="4">
        <v>121</v>
      </c>
      <c r="Q1099" s="4" t="str">
        <f t="shared" si="59"/>
        <v>南平市</v>
      </c>
      <c r="R1099" s="4">
        <f t="shared" si="57"/>
        <v>13</v>
      </c>
      <c r="S1099" s="4" t="str">
        <f t="shared" si="58"/>
        <v>福建省</v>
      </c>
    </row>
    <row r="1100" spans="14:19">
      <c r="N1100" s="4">
        <v>1099</v>
      </c>
      <c r="O1100" s="4" t="s">
        <v>1979</v>
      </c>
      <c r="P1100" s="4">
        <v>121</v>
      </c>
      <c r="Q1100" s="4" t="str">
        <f t="shared" si="59"/>
        <v>南平市</v>
      </c>
      <c r="R1100" s="4">
        <f t="shared" si="57"/>
        <v>13</v>
      </c>
      <c r="S1100" s="4" t="str">
        <f t="shared" si="58"/>
        <v>福建省</v>
      </c>
    </row>
    <row r="1101" spans="14:19">
      <c r="N1101" s="4">
        <v>1100</v>
      </c>
      <c r="O1101" s="4" t="s">
        <v>1980</v>
      </c>
      <c r="P1101" s="4">
        <v>121</v>
      </c>
      <c r="Q1101" s="4" t="str">
        <f t="shared" si="59"/>
        <v>南平市</v>
      </c>
      <c r="R1101" s="4">
        <f t="shared" si="57"/>
        <v>13</v>
      </c>
      <c r="S1101" s="4" t="str">
        <f t="shared" si="58"/>
        <v>福建省</v>
      </c>
    </row>
    <row r="1102" spans="14:19">
      <c r="N1102" s="4">
        <v>1101</v>
      </c>
      <c r="O1102" s="4" t="s">
        <v>1981</v>
      </c>
      <c r="P1102" s="4">
        <v>121</v>
      </c>
      <c r="Q1102" s="4" t="str">
        <f t="shared" si="59"/>
        <v>南平市</v>
      </c>
      <c r="R1102" s="4">
        <f t="shared" si="57"/>
        <v>13</v>
      </c>
      <c r="S1102" s="4" t="str">
        <f t="shared" si="58"/>
        <v>福建省</v>
      </c>
    </row>
    <row r="1103" spans="14:19">
      <c r="N1103" s="4">
        <v>1102</v>
      </c>
      <c r="O1103" s="4" t="s">
        <v>1982</v>
      </c>
      <c r="P1103" s="4">
        <v>121</v>
      </c>
      <c r="Q1103" s="4" t="str">
        <f t="shared" si="59"/>
        <v>南平市</v>
      </c>
      <c r="R1103" s="4">
        <f t="shared" si="57"/>
        <v>13</v>
      </c>
      <c r="S1103" s="4" t="str">
        <f t="shared" si="58"/>
        <v>福建省</v>
      </c>
    </row>
    <row r="1104" spans="14:19">
      <c r="N1104" s="4">
        <v>1103</v>
      </c>
      <c r="O1104" s="4" t="s">
        <v>1983</v>
      </c>
      <c r="P1104" s="4">
        <v>121</v>
      </c>
      <c r="Q1104" s="4" t="str">
        <f t="shared" si="59"/>
        <v>南平市</v>
      </c>
      <c r="R1104" s="4">
        <f t="shared" si="57"/>
        <v>13</v>
      </c>
      <c r="S1104" s="4" t="str">
        <f t="shared" si="58"/>
        <v>福建省</v>
      </c>
    </row>
    <row r="1105" spans="14:19">
      <c r="N1105" s="4">
        <v>1104</v>
      </c>
      <c r="O1105" s="4" t="s">
        <v>1984</v>
      </c>
      <c r="P1105" s="4">
        <v>121</v>
      </c>
      <c r="Q1105" s="4" t="str">
        <f t="shared" si="59"/>
        <v>南平市</v>
      </c>
      <c r="R1105" s="4">
        <f t="shared" si="57"/>
        <v>13</v>
      </c>
      <c r="S1105" s="4" t="str">
        <f t="shared" si="58"/>
        <v>福建省</v>
      </c>
    </row>
    <row r="1106" spans="14:19">
      <c r="N1106" s="4">
        <v>1105</v>
      </c>
      <c r="O1106" s="4" t="s">
        <v>1985</v>
      </c>
      <c r="P1106" s="4">
        <v>121</v>
      </c>
      <c r="Q1106" s="4" t="str">
        <f t="shared" si="59"/>
        <v>南平市</v>
      </c>
      <c r="R1106" s="4">
        <f t="shared" si="57"/>
        <v>13</v>
      </c>
      <c r="S1106" s="4" t="str">
        <f t="shared" si="58"/>
        <v>福建省</v>
      </c>
    </row>
    <row r="1107" spans="14:19">
      <c r="N1107" s="4">
        <v>1106</v>
      </c>
      <c r="O1107" s="4" t="s">
        <v>1986</v>
      </c>
      <c r="P1107" s="4">
        <v>121</v>
      </c>
      <c r="Q1107" s="4" t="str">
        <f t="shared" si="59"/>
        <v>南平市</v>
      </c>
      <c r="R1107" s="4">
        <f t="shared" si="57"/>
        <v>13</v>
      </c>
      <c r="S1107" s="4" t="str">
        <f t="shared" si="58"/>
        <v>福建省</v>
      </c>
    </row>
    <row r="1108" spans="14:19">
      <c r="N1108" s="4">
        <v>1107</v>
      </c>
      <c r="O1108" s="4" t="s">
        <v>1987</v>
      </c>
      <c r="P1108" s="4">
        <v>121</v>
      </c>
      <c r="Q1108" s="4" t="str">
        <f t="shared" si="59"/>
        <v>南平市</v>
      </c>
      <c r="R1108" s="4">
        <f t="shared" si="57"/>
        <v>13</v>
      </c>
      <c r="S1108" s="4" t="str">
        <f t="shared" si="58"/>
        <v>福建省</v>
      </c>
    </row>
    <row r="1109" spans="14:19">
      <c r="N1109" s="4">
        <v>1108</v>
      </c>
      <c r="O1109" s="4" t="s">
        <v>1988</v>
      </c>
      <c r="P1109" s="4">
        <v>122</v>
      </c>
      <c r="Q1109" s="4" t="str">
        <f t="shared" si="59"/>
        <v>龙岩市</v>
      </c>
      <c r="R1109" s="4">
        <f t="shared" si="57"/>
        <v>13</v>
      </c>
      <c r="S1109" s="4" t="str">
        <f t="shared" si="58"/>
        <v>福建省</v>
      </c>
    </row>
    <row r="1110" spans="14:19">
      <c r="N1110" s="4">
        <v>1109</v>
      </c>
      <c r="O1110" s="4" t="s">
        <v>1989</v>
      </c>
      <c r="P1110" s="4">
        <v>122</v>
      </c>
      <c r="Q1110" s="4" t="str">
        <f t="shared" si="59"/>
        <v>龙岩市</v>
      </c>
      <c r="R1110" s="4">
        <f t="shared" si="57"/>
        <v>13</v>
      </c>
      <c r="S1110" s="4" t="str">
        <f t="shared" si="58"/>
        <v>福建省</v>
      </c>
    </row>
    <row r="1111" spans="14:19">
      <c r="N1111" s="4">
        <v>1110</v>
      </c>
      <c r="O1111" s="4" t="s">
        <v>1990</v>
      </c>
      <c r="P1111" s="4">
        <v>122</v>
      </c>
      <c r="Q1111" s="4" t="str">
        <f t="shared" si="59"/>
        <v>龙岩市</v>
      </c>
      <c r="R1111" s="4">
        <f t="shared" si="57"/>
        <v>13</v>
      </c>
      <c r="S1111" s="4" t="str">
        <f t="shared" si="58"/>
        <v>福建省</v>
      </c>
    </row>
    <row r="1112" spans="14:19">
      <c r="N1112" s="4">
        <v>1111</v>
      </c>
      <c r="O1112" s="4" t="s">
        <v>1991</v>
      </c>
      <c r="P1112" s="4">
        <v>122</v>
      </c>
      <c r="Q1112" s="4" t="str">
        <f t="shared" si="59"/>
        <v>龙岩市</v>
      </c>
      <c r="R1112" s="4">
        <f t="shared" si="57"/>
        <v>13</v>
      </c>
      <c r="S1112" s="4" t="str">
        <f t="shared" si="58"/>
        <v>福建省</v>
      </c>
    </row>
    <row r="1113" spans="14:19">
      <c r="N1113" s="4">
        <v>1112</v>
      </c>
      <c r="O1113" s="4" t="s">
        <v>1992</v>
      </c>
      <c r="P1113" s="4">
        <v>122</v>
      </c>
      <c r="Q1113" s="4" t="str">
        <f t="shared" si="59"/>
        <v>龙岩市</v>
      </c>
      <c r="R1113" s="4">
        <f t="shared" si="57"/>
        <v>13</v>
      </c>
      <c r="S1113" s="4" t="str">
        <f t="shared" si="58"/>
        <v>福建省</v>
      </c>
    </row>
    <row r="1114" spans="14:19">
      <c r="N1114" s="4">
        <v>1113</v>
      </c>
      <c r="O1114" s="4" t="s">
        <v>1993</v>
      </c>
      <c r="P1114" s="4">
        <v>122</v>
      </c>
      <c r="Q1114" s="4" t="str">
        <f t="shared" si="59"/>
        <v>龙岩市</v>
      </c>
      <c r="R1114" s="4">
        <f t="shared" si="57"/>
        <v>13</v>
      </c>
      <c r="S1114" s="4" t="str">
        <f t="shared" si="58"/>
        <v>福建省</v>
      </c>
    </row>
    <row r="1115" spans="14:19">
      <c r="N1115" s="4">
        <v>1114</v>
      </c>
      <c r="O1115" s="4" t="s">
        <v>1994</v>
      </c>
      <c r="P1115" s="4">
        <v>122</v>
      </c>
      <c r="Q1115" s="4" t="str">
        <f t="shared" si="59"/>
        <v>龙岩市</v>
      </c>
      <c r="R1115" s="4">
        <f t="shared" si="57"/>
        <v>13</v>
      </c>
      <c r="S1115" s="4" t="str">
        <f t="shared" si="58"/>
        <v>福建省</v>
      </c>
    </row>
    <row r="1116" spans="14:19">
      <c r="N1116" s="4">
        <v>1115</v>
      </c>
      <c r="O1116" s="4" t="s">
        <v>1995</v>
      </c>
      <c r="P1116" s="4">
        <v>123</v>
      </c>
      <c r="Q1116" s="4" t="str">
        <f t="shared" si="59"/>
        <v>宁德市</v>
      </c>
      <c r="R1116" s="4">
        <f t="shared" si="57"/>
        <v>13</v>
      </c>
      <c r="S1116" s="4" t="str">
        <f t="shared" si="58"/>
        <v>福建省</v>
      </c>
    </row>
    <row r="1117" spans="14:19">
      <c r="N1117" s="4">
        <v>1116</v>
      </c>
      <c r="O1117" s="4" t="s">
        <v>1996</v>
      </c>
      <c r="P1117" s="4">
        <v>123</v>
      </c>
      <c r="Q1117" s="4" t="str">
        <f t="shared" si="59"/>
        <v>宁德市</v>
      </c>
      <c r="R1117" s="4">
        <f t="shared" si="57"/>
        <v>13</v>
      </c>
      <c r="S1117" s="4" t="str">
        <f t="shared" si="58"/>
        <v>福建省</v>
      </c>
    </row>
    <row r="1118" spans="14:19">
      <c r="N1118" s="4">
        <v>1117</v>
      </c>
      <c r="O1118" s="4" t="s">
        <v>1997</v>
      </c>
      <c r="P1118" s="4">
        <v>123</v>
      </c>
      <c r="Q1118" s="4" t="str">
        <f t="shared" si="59"/>
        <v>宁德市</v>
      </c>
      <c r="R1118" s="4">
        <f t="shared" si="57"/>
        <v>13</v>
      </c>
      <c r="S1118" s="4" t="str">
        <f t="shared" si="58"/>
        <v>福建省</v>
      </c>
    </row>
    <row r="1119" spans="14:19">
      <c r="N1119" s="4">
        <v>1118</v>
      </c>
      <c r="O1119" s="4" t="s">
        <v>1998</v>
      </c>
      <c r="P1119" s="4">
        <v>123</v>
      </c>
      <c r="Q1119" s="4" t="str">
        <f t="shared" si="59"/>
        <v>宁德市</v>
      </c>
      <c r="R1119" s="4">
        <f t="shared" si="57"/>
        <v>13</v>
      </c>
      <c r="S1119" s="4" t="str">
        <f t="shared" si="58"/>
        <v>福建省</v>
      </c>
    </row>
    <row r="1120" spans="14:19">
      <c r="N1120" s="4">
        <v>1119</v>
      </c>
      <c r="O1120" s="4" t="s">
        <v>1999</v>
      </c>
      <c r="P1120" s="4">
        <v>123</v>
      </c>
      <c r="Q1120" s="4" t="str">
        <f t="shared" si="59"/>
        <v>宁德市</v>
      </c>
      <c r="R1120" s="4">
        <f t="shared" si="57"/>
        <v>13</v>
      </c>
      <c r="S1120" s="4" t="str">
        <f t="shared" si="58"/>
        <v>福建省</v>
      </c>
    </row>
    <row r="1121" spans="14:19">
      <c r="N1121" s="4">
        <v>1120</v>
      </c>
      <c r="O1121" s="4" t="s">
        <v>2000</v>
      </c>
      <c r="P1121" s="4">
        <v>123</v>
      </c>
      <c r="Q1121" s="4" t="str">
        <f t="shared" si="59"/>
        <v>宁德市</v>
      </c>
      <c r="R1121" s="4">
        <f t="shared" si="57"/>
        <v>13</v>
      </c>
      <c r="S1121" s="4" t="str">
        <f t="shared" si="58"/>
        <v>福建省</v>
      </c>
    </row>
    <row r="1122" spans="14:19">
      <c r="N1122" s="4">
        <v>1121</v>
      </c>
      <c r="O1122" s="4" t="s">
        <v>2001</v>
      </c>
      <c r="P1122" s="4">
        <v>123</v>
      </c>
      <c r="Q1122" s="4" t="str">
        <f t="shared" si="59"/>
        <v>宁德市</v>
      </c>
      <c r="R1122" s="4">
        <f t="shared" si="57"/>
        <v>13</v>
      </c>
      <c r="S1122" s="4" t="str">
        <f t="shared" si="58"/>
        <v>福建省</v>
      </c>
    </row>
    <row r="1123" spans="14:19">
      <c r="N1123" s="4">
        <v>1122</v>
      </c>
      <c r="O1123" s="4" t="s">
        <v>2002</v>
      </c>
      <c r="P1123" s="4">
        <v>123</v>
      </c>
      <c r="Q1123" s="4" t="str">
        <f t="shared" si="59"/>
        <v>宁德市</v>
      </c>
      <c r="R1123" s="4">
        <f t="shared" si="57"/>
        <v>13</v>
      </c>
      <c r="S1123" s="4" t="str">
        <f t="shared" si="58"/>
        <v>福建省</v>
      </c>
    </row>
    <row r="1124" spans="14:19">
      <c r="N1124" s="4">
        <v>1123</v>
      </c>
      <c r="O1124" s="4" t="s">
        <v>2003</v>
      </c>
      <c r="P1124" s="4">
        <v>123</v>
      </c>
      <c r="Q1124" s="4" t="str">
        <f t="shared" si="59"/>
        <v>宁德市</v>
      </c>
      <c r="R1124" s="4">
        <f t="shared" si="57"/>
        <v>13</v>
      </c>
      <c r="S1124" s="4" t="str">
        <f t="shared" si="58"/>
        <v>福建省</v>
      </c>
    </row>
    <row r="1125" spans="14:19">
      <c r="N1125" s="4">
        <v>1124</v>
      </c>
      <c r="O1125" s="4" t="s">
        <v>2004</v>
      </c>
      <c r="P1125" s="4">
        <v>124</v>
      </c>
      <c r="Q1125" s="4" t="str">
        <f t="shared" si="59"/>
        <v>南昌市</v>
      </c>
      <c r="R1125" s="4">
        <f t="shared" si="57"/>
        <v>14</v>
      </c>
      <c r="S1125" s="4" t="str">
        <f t="shared" si="58"/>
        <v>江西省</v>
      </c>
    </row>
    <row r="1126" spans="14:19">
      <c r="N1126" s="4">
        <v>1125</v>
      </c>
      <c r="O1126" s="4" t="s">
        <v>1732</v>
      </c>
      <c r="P1126" s="4">
        <v>124</v>
      </c>
      <c r="Q1126" s="4" t="str">
        <f t="shared" si="59"/>
        <v>南昌市</v>
      </c>
      <c r="R1126" s="4">
        <f t="shared" si="57"/>
        <v>14</v>
      </c>
      <c r="S1126" s="4" t="str">
        <f t="shared" si="58"/>
        <v>江西省</v>
      </c>
    </row>
    <row r="1127" spans="14:19">
      <c r="N1127" s="4">
        <v>1126</v>
      </c>
      <c r="O1127" s="4" t="s">
        <v>2005</v>
      </c>
      <c r="P1127" s="4">
        <v>124</v>
      </c>
      <c r="Q1127" s="4" t="str">
        <f t="shared" si="59"/>
        <v>南昌市</v>
      </c>
      <c r="R1127" s="4">
        <f t="shared" si="57"/>
        <v>14</v>
      </c>
      <c r="S1127" s="4" t="str">
        <f t="shared" si="58"/>
        <v>江西省</v>
      </c>
    </row>
    <row r="1128" spans="14:19">
      <c r="N1128" s="4">
        <v>1127</v>
      </c>
      <c r="O1128" s="4" t="s">
        <v>2006</v>
      </c>
      <c r="P1128" s="4">
        <v>124</v>
      </c>
      <c r="Q1128" s="4" t="str">
        <f t="shared" si="59"/>
        <v>南昌市</v>
      </c>
      <c r="R1128" s="4">
        <f t="shared" si="57"/>
        <v>14</v>
      </c>
      <c r="S1128" s="4" t="str">
        <f t="shared" si="58"/>
        <v>江西省</v>
      </c>
    </row>
    <row r="1129" spans="14:19">
      <c r="N1129" s="4">
        <v>1128</v>
      </c>
      <c r="O1129" s="4" t="s">
        <v>2007</v>
      </c>
      <c r="P1129" s="4">
        <v>124</v>
      </c>
      <c r="Q1129" s="4" t="str">
        <f t="shared" si="59"/>
        <v>南昌市</v>
      </c>
      <c r="R1129" s="4">
        <f t="shared" si="57"/>
        <v>14</v>
      </c>
      <c r="S1129" s="4" t="str">
        <f t="shared" si="58"/>
        <v>江西省</v>
      </c>
    </row>
    <row r="1130" spans="14:19">
      <c r="N1130" s="4">
        <v>1129</v>
      </c>
      <c r="O1130" s="4" t="s">
        <v>2008</v>
      </c>
      <c r="P1130" s="4">
        <v>124</v>
      </c>
      <c r="Q1130" s="4" t="str">
        <f t="shared" si="59"/>
        <v>南昌市</v>
      </c>
      <c r="R1130" s="4">
        <f t="shared" si="57"/>
        <v>14</v>
      </c>
      <c r="S1130" s="4" t="str">
        <f t="shared" si="58"/>
        <v>江西省</v>
      </c>
    </row>
    <row r="1131" spans="14:19">
      <c r="N1131" s="4">
        <v>1130</v>
      </c>
      <c r="O1131" s="4" t="s">
        <v>2009</v>
      </c>
      <c r="P1131" s="4">
        <v>124</v>
      </c>
      <c r="Q1131" s="4" t="str">
        <f t="shared" si="59"/>
        <v>南昌市</v>
      </c>
      <c r="R1131" s="4">
        <f t="shared" si="57"/>
        <v>14</v>
      </c>
      <c r="S1131" s="4" t="str">
        <f t="shared" si="58"/>
        <v>江西省</v>
      </c>
    </row>
    <row r="1132" spans="14:19">
      <c r="N1132" s="4">
        <v>1131</v>
      </c>
      <c r="O1132" s="4" t="s">
        <v>2010</v>
      </c>
      <c r="P1132" s="4">
        <v>124</v>
      </c>
      <c r="Q1132" s="4" t="str">
        <f t="shared" si="59"/>
        <v>南昌市</v>
      </c>
      <c r="R1132" s="4">
        <f t="shared" si="57"/>
        <v>14</v>
      </c>
      <c r="S1132" s="4" t="str">
        <f t="shared" si="58"/>
        <v>江西省</v>
      </c>
    </row>
    <row r="1133" spans="14:19">
      <c r="N1133" s="4">
        <v>1132</v>
      </c>
      <c r="O1133" s="4" t="s">
        <v>2011</v>
      </c>
      <c r="P1133" s="4">
        <v>124</v>
      </c>
      <c r="Q1133" s="4" t="str">
        <f t="shared" si="59"/>
        <v>南昌市</v>
      </c>
      <c r="R1133" s="4">
        <f t="shared" si="57"/>
        <v>14</v>
      </c>
      <c r="S1133" s="4" t="str">
        <f t="shared" si="58"/>
        <v>江西省</v>
      </c>
    </row>
    <row r="1134" spans="14:19">
      <c r="N1134" s="4">
        <v>1133</v>
      </c>
      <c r="O1134" s="4" t="s">
        <v>2012</v>
      </c>
      <c r="P1134" s="4">
        <v>125</v>
      </c>
      <c r="Q1134" s="4" t="str">
        <f t="shared" si="59"/>
        <v>景德镇市</v>
      </c>
      <c r="R1134" s="4">
        <f t="shared" si="57"/>
        <v>14</v>
      </c>
      <c r="S1134" s="4" t="str">
        <f t="shared" si="58"/>
        <v>江西省</v>
      </c>
    </row>
    <row r="1135" spans="14:19">
      <c r="N1135" s="4">
        <v>1134</v>
      </c>
      <c r="O1135" s="4" t="s">
        <v>2013</v>
      </c>
      <c r="P1135" s="4">
        <v>125</v>
      </c>
      <c r="Q1135" s="4" t="str">
        <f t="shared" si="59"/>
        <v>景德镇市</v>
      </c>
      <c r="R1135" s="4">
        <f t="shared" si="57"/>
        <v>14</v>
      </c>
      <c r="S1135" s="4" t="str">
        <f t="shared" si="58"/>
        <v>江西省</v>
      </c>
    </row>
    <row r="1136" spans="14:19">
      <c r="N1136" s="4">
        <v>1135</v>
      </c>
      <c r="O1136" s="4" t="s">
        <v>2014</v>
      </c>
      <c r="P1136" s="4">
        <v>125</v>
      </c>
      <c r="Q1136" s="4" t="str">
        <f t="shared" si="59"/>
        <v>景德镇市</v>
      </c>
      <c r="R1136" s="4">
        <f t="shared" si="57"/>
        <v>14</v>
      </c>
      <c r="S1136" s="4" t="str">
        <f t="shared" si="58"/>
        <v>江西省</v>
      </c>
    </row>
    <row r="1137" spans="14:19">
      <c r="N1137" s="4">
        <v>1136</v>
      </c>
      <c r="O1137" s="4" t="s">
        <v>2015</v>
      </c>
      <c r="P1137" s="4">
        <v>125</v>
      </c>
      <c r="Q1137" s="4" t="str">
        <f t="shared" si="59"/>
        <v>景德镇市</v>
      </c>
      <c r="R1137" s="4">
        <f t="shared" si="57"/>
        <v>14</v>
      </c>
      <c r="S1137" s="4" t="str">
        <f t="shared" si="58"/>
        <v>江西省</v>
      </c>
    </row>
    <row r="1138" spans="14:19">
      <c r="N1138" s="4">
        <v>1137</v>
      </c>
      <c r="O1138" s="4" t="s">
        <v>2016</v>
      </c>
      <c r="P1138" s="4">
        <v>126</v>
      </c>
      <c r="Q1138" s="4" t="str">
        <f t="shared" si="59"/>
        <v>萍乡市</v>
      </c>
      <c r="R1138" s="4">
        <f t="shared" si="57"/>
        <v>14</v>
      </c>
      <c r="S1138" s="4" t="str">
        <f t="shared" si="58"/>
        <v>江西省</v>
      </c>
    </row>
    <row r="1139" spans="14:19">
      <c r="N1139" s="4">
        <v>1138</v>
      </c>
      <c r="O1139" s="4" t="s">
        <v>2017</v>
      </c>
      <c r="P1139" s="4">
        <v>126</v>
      </c>
      <c r="Q1139" s="4" t="str">
        <f t="shared" si="59"/>
        <v>萍乡市</v>
      </c>
      <c r="R1139" s="4">
        <f t="shared" si="57"/>
        <v>14</v>
      </c>
      <c r="S1139" s="4" t="str">
        <f t="shared" si="58"/>
        <v>江西省</v>
      </c>
    </row>
    <row r="1140" spans="14:19">
      <c r="N1140" s="4">
        <v>1139</v>
      </c>
      <c r="O1140" s="4" t="s">
        <v>2018</v>
      </c>
      <c r="P1140" s="4">
        <v>126</v>
      </c>
      <c r="Q1140" s="4" t="str">
        <f t="shared" si="59"/>
        <v>萍乡市</v>
      </c>
      <c r="R1140" s="4">
        <f t="shared" si="57"/>
        <v>14</v>
      </c>
      <c r="S1140" s="4" t="str">
        <f t="shared" si="58"/>
        <v>江西省</v>
      </c>
    </row>
    <row r="1141" spans="14:19">
      <c r="N1141" s="4">
        <v>1140</v>
      </c>
      <c r="O1141" s="4" t="s">
        <v>2019</v>
      </c>
      <c r="P1141" s="4">
        <v>126</v>
      </c>
      <c r="Q1141" s="4" t="str">
        <f t="shared" si="59"/>
        <v>萍乡市</v>
      </c>
      <c r="R1141" s="4">
        <f t="shared" si="57"/>
        <v>14</v>
      </c>
      <c r="S1141" s="4" t="str">
        <f t="shared" si="58"/>
        <v>江西省</v>
      </c>
    </row>
    <row r="1142" spans="14:19">
      <c r="N1142" s="4">
        <v>1141</v>
      </c>
      <c r="O1142" s="4" t="s">
        <v>2020</v>
      </c>
      <c r="P1142" s="4">
        <v>126</v>
      </c>
      <c r="Q1142" s="4" t="str">
        <f t="shared" si="59"/>
        <v>萍乡市</v>
      </c>
      <c r="R1142" s="4">
        <f t="shared" si="57"/>
        <v>14</v>
      </c>
      <c r="S1142" s="4" t="str">
        <f t="shared" si="58"/>
        <v>江西省</v>
      </c>
    </row>
    <row r="1143" spans="14:19">
      <c r="N1143" s="4">
        <v>1142</v>
      </c>
      <c r="O1143" s="4" t="s">
        <v>2021</v>
      </c>
      <c r="P1143" s="4">
        <v>127</v>
      </c>
      <c r="Q1143" s="4" t="str">
        <f t="shared" si="59"/>
        <v>九江市</v>
      </c>
      <c r="R1143" s="4">
        <f t="shared" si="57"/>
        <v>14</v>
      </c>
      <c r="S1143" s="4" t="str">
        <f t="shared" si="58"/>
        <v>江西省</v>
      </c>
    </row>
    <row r="1144" spans="14:19">
      <c r="N1144" s="4">
        <v>1143</v>
      </c>
      <c r="O1144" s="4" t="s">
        <v>2022</v>
      </c>
      <c r="P1144" s="4">
        <v>127</v>
      </c>
      <c r="Q1144" s="4" t="str">
        <f t="shared" si="59"/>
        <v>九江市</v>
      </c>
      <c r="R1144" s="4">
        <f t="shared" si="57"/>
        <v>14</v>
      </c>
      <c r="S1144" s="4" t="str">
        <f t="shared" si="58"/>
        <v>江西省</v>
      </c>
    </row>
    <row r="1145" spans="14:19">
      <c r="N1145" s="4">
        <v>1144</v>
      </c>
      <c r="O1145" s="4" t="s">
        <v>2023</v>
      </c>
      <c r="P1145" s="4">
        <v>127</v>
      </c>
      <c r="Q1145" s="4" t="str">
        <f t="shared" si="59"/>
        <v>九江市</v>
      </c>
      <c r="R1145" s="4">
        <f t="shared" si="57"/>
        <v>14</v>
      </c>
      <c r="S1145" s="4" t="str">
        <f t="shared" si="58"/>
        <v>江西省</v>
      </c>
    </row>
    <row r="1146" spans="14:19">
      <c r="N1146" s="4">
        <v>1145</v>
      </c>
      <c r="O1146" s="4" t="s">
        <v>2024</v>
      </c>
      <c r="P1146" s="4">
        <v>127</v>
      </c>
      <c r="Q1146" s="4" t="str">
        <f t="shared" si="59"/>
        <v>九江市</v>
      </c>
      <c r="R1146" s="4">
        <f t="shared" si="57"/>
        <v>14</v>
      </c>
      <c r="S1146" s="4" t="str">
        <f t="shared" si="58"/>
        <v>江西省</v>
      </c>
    </row>
    <row r="1147" spans="14:19">
      <c r="N1147" s="4">
        <v>1146</v>
      </c>
      <c r="O1147" s="4" t="s">
        <v>2025</v>
      </c>
      <c r="P1147" s="4">
        <v>127</v>
      </c>
      <c r="Q1147" s="4" t="str">
        <f t="shared" si="59"/>
        <v>九江市</v>
      </c>
      <c r="R1147" s="4">
        <f t="shared" si="57"/>
        <v>14</v>
      </c>
      <c r="S1147" s="4" t="str">
        <f t="shared" si="58"/>
        <v>江西省</v>
      </c>
    </row>
    <row r="1148" spans="14:19">
      <c r="N1148" s="4">
        <v>1147</v>
      </c>
      <c r="O1148" s="4" t="s">
        <v>2026</v>
      </c>
      <c r="P1148" s="4">
        <v>127</v>
      </c>
      <c r="Q1148" s="4" t="str">
        <f t="shared" si="59"/>
        <v>九江市</v>
      </c>
      <c r="R1148" s="4">
        <f t="shared" si="57"/>
        <v>14</v>
      </c>
      <c r="S1148" s="4" t="str">
        <f t="shared" si="58"/>
        <v>江西省</v>
      </c>
    </row>
    <row r="1149" spans="14:19">
      <c r="N1149" s="4">
        <v>1148</v>
      </c>
      <c r="O1149" s="4" t="s">
        <v>2027</v>
      </c>
      <c r="P1149" s="4">
        <v>127</v>
      </c>
      <c r="Q1149" s="4" t="str">
        <f t="shared" si="59"/>
        <v>九江市</v>
      </c>
      <c r="R1149" s="4">
        <f t="shared" si="57"/>
        <v>14</v>
      </c>
      <c r="S1149" s="4" t="str">
        <f t="shared" si="58"/>
        <v>江西省</v>
      </c>
    </row>
    <row r="1150" spans="14:19">
      <c r="N1150" s="4">
        <v>1149</v>
      </c>
      <c r="O1150" s="4" t="s">
        <v>2028</v>
      </c>
      <c r="P1150" s="4">
        <v>127</v>
      </c>
      <c r="Q1150" s="4" t="str">
        <f t="shared" si="59"/>
        <v>九江市</v>
      </c>
      <c r="R1150" s="4">
        <f t="shared" si="57"/>
        <v>14</v>
      </c>
      <c r="S1150" s="4" t="str">
        <f t="shared" si="58"/>
        <v>江西省</v>
      </c>
    </row>
    <row r="1151" spans="14:19">
      <c r="N1151" s="4">
        <v>1150</v>
      </c>
      <c r="O1151" s="4" t="s">
        <v>2029</v>
      </c>
      <c r="P1151" s="4">
        <v>127</v>
      </c>
      <c r="Q1151" s="4" t="str">
        <f t="shared" si="59"/>
        <v>九江市</v>
      </c>
      <c r="R1151" s="4">
        <f t="shared" si="57"/>
        <v>14</v>
      </c>
      <c r="S1151" s="4" t="str">
        <f t="shared" si="58"/>
        <v>江西省</v>
      </c>
    </row>
    <row r="1152" spans="14:19">
      <c r="N1152" s="4">
        <v>1151</v>
      </c>
      <c r="O1152" s="4" t="s">
        <v>2030</v>
      </c>
      <c r="P1152" s="4">
        <v>127</v>
      </c>
      <c r="Q1152" s="4" t="str">
        <f t="shared" si="59"/>
        <v>九江市</v>
      </c>
      <c r="R1152" s="4">
        <f t="shared" si="57"/>
        <v>14</v>
      </c>
      <c r="S1152" s="4" t="str">
        <f t="shared" si="58"/>
        <v>江西省</v>
      </c>
    </row>
    <row r="1153" spans="14:19">
      <c r="N1153" s="4">
        <v>1152</v>
      </c>
      <c r="O1153" s="4" t="s">
        <v>2031</v>
      </c>
      <c r="P1153" s="4">
        <v>127</v>
      </c>
      <c r="Q1153" s="4" t="str">
        <f t="shared" si="59"/>
        <v>九江市</v>
      </c>
      <c r="R1153" s="4">
        <f t="shared" si="57"/>
        <v>14</v>
      </c>
      <c r="S1153" s="4" t="str">
        <f t="shared" si="58"/>
        <v>江西省</v>
      </c>
    </row>
    <row r="1154" spans="14:19">
      <c r="N1154" s="4">
        <v>1153</v>
      </c>
      <c r="O1154" s="4" t="s">
        <v>2032</v>
      </c>
      <c r="P1154" s="4">
        <v>127</v>
      </c>
      <c r="Q1154" s="4" t="str">
        <f t="shared" si="59"/>
        <v>九江市</v>
      </c>
      <c r="R1154" s="4">
        <f t="shared" ref="R1154:R1217" si="60">VLOOKUP(P1154,$I$2:$M$346,3,FALSE)</f>
        <v>14</v>
      </c>
      <c r="S1154" s="4" t="str">
        <f t="shared" ref="S1154:S1217" si="61">VLOOKUP(P1154,$I$2:$M$346,4,FALSE)</f>
        <v>江西省</v>
      </c>
    </row>
    <row r="1155" spans="14:19">
      <c r="N1155" s="4">
        <v>1154</v>
      </c>
      <c r="O1155" s="4" t="s">
        <v>2033</v>
      </c>
      <c r="P1155" s="4">
        <v>128</v>
      </c>
      <c r="Q1155" s="4" t="str">
        <f t="shared" ref="Q1155:Q1218" si="62">VLOOKUP(P1155,$I$2:$J$346,2,FALSE)</f>
        <v>新余市</v>
      </c>
      <c r="R1155" s="4">
        <f t="shared" si="60"/>
        <v>14</v>
      </c>
      <c r="S1155" s="4" t="str">
        <f t="shared" si="61"/>
        <v>江西省</v>
      </c>
    </row>
    <row r="1156" spans="14:19">
      <c r="N1156" s="4">
        <v>1155</v>
      </c>
      <c r="O1156" s="4" t="s">
        <v>2034</v>
      </c>
      <c r="P1156" s="4">
        <v>128</v>
      </c>
      <c r="Q1156" s="4" t="str">
        <f t="shared" si="62"/>
        <v>新余市</v>
      </c>
      <c r="R1156" s="4">
        <f t="shared" si="60"/>
        <v>14</v>
      </c>
      <c r="S1156" s="4" t="str">
        <f t="shared" si="61"/>
        <v>江西省</v>
      </c>
    </row>
    <row r="1157" spans="14:19">
      <c r="N1157" s="4">
        <v>1156</v>
      </c>
      <c r="O1157" s="4" t="s">
        <v>2035</v>
      </c>
      <c r="P1157" s="4">
        <v>129</v>
      </c>
      <c r="Q1157" s="4" t="str">
        <f t="shared" si="62"/>
        <v>鹰潭市</v>
      </c>
      <c r="R1157" s="4">
        <f t="shared" si="60"/>
        <v>14</v>
      </c>
      <c r="S1157" s="4" t="str">
        <f t="shared" si="61"/>
        <v>江西省</v>
      </c>
    </row>
    <row r="1158" spans="14:19">
      <c r="N1158" s="4">
        <v>1157</v>
      </c>
      <c r="O1158" s="4" t="s">
        <v>2036</v>
      </c>
      <c r="P1158" s="4">
        <v>129</v>
      </c>
      <c r="Q1158" s="4" t="str">
        <f t="shared" si="62"/>
        <v>鹰潭市</v>
      </c>
      <c r="R1158" s="4">
        <f t="shared" si="60"/>
        <v>14</v>
      </c>
      <c r="S1158" s="4" t="str">
        <f t="shared" si="61"/>
        <v>江西省</v>
      </c>
    </row>
    <row r="1159" spans="14:19">
      <c r="N1159" s="4">
        <v>1158</v>
      </c>
      <c r="O1159" s="4" t="s">
        <v>2037</v>
      </c>
      <c r="P1159" s="4">
        <v>129</v>
      </c>
      <c r="Q1159" s="4" t="str">
        <f t="shared" si="62"/>
        <v>鹰潭市</v>
      </c>
      <c r="R1159" s="4">
        <f t="shared" si="60"/>
        <v>14</v>
      </c>
      <c r="S1159" s="4" t="str">
        <f t="shared" si="61"/>
        <v>江西省</v>
      </c>
    </row>
    <row r="1160" spans="14:19">
      <c r="N1160" s="4">
        <v>1159</v>
      </c>
      <c r="O1160" s="4" t="s">
        <v>2038</v>
      </c>
      <c r="P1160" s="4">
        <v>130</v>
      </c>
      <c r="Q1160" s="4" t="str">
        <f t="shared" si="62"/>
        <v>赣州市</v>
      </c>
      <c r="R1160" s="4">
        <f t="shared" si="60"/>
        <v>14</v>
      </c>
      <c r="S1160" s="4" t="str">
        <f t="shared" si="61"/>
        <v>江西省</v>
      </c>
    </row>
    <row r="1161" spans="14:19">
      <c r="N1161" s="4">
        <v>1160</v>
      </c>
      <c r="O1161" s="4" t="s">
        <v>2039</v>
      </c>
      <c r="P1161" s="4">
        <v>130</v>
      </c>
      <c r="Q1161" s="4" t="str">
        <f t="shared" si="62"/>
        <v>赣州市</v>
      </c>
      <c r="R1161" s="4">
        <f t="shared" si="60"/>
        <v>14</v>
      </c>
      <c r="S1161" s="4" t="str">
        <f t="shared" si="61"/>
        <v>江西省</v>
      </c>
    </row>
    <row r="1162" spans="14:19">
      <c r="N1162" s="4">
        <v>1161</v>
      </c>
      <c r="O1162" s="4" t="s">
        <v>2040</v>
      </c>
      <c r="P1162" s="4">
        <v>130</v>
      </c>
      <c r="Q1162" s="4" t="str">
        <f t="shared" si="62"/>
        <v>赣州市</v>
      </c>
      <c r="R1162" s="4">
        <f t="shared" si="60"/>
        <v>14</v>
      </c>
      <c r="S1162" s="4" t="str">
        <f t="shared" si="61"/>
        <v>江西省</v>
      </c>
    </row>
    <row r="1163" spans="14:19">
      <c r="N1163" s="4">
        <v>1162</v>
      </c>
      <c r="O1163" s="4" t="s">
        <v>2041</v>
      </c>
      <c r="P1163" s="4">
        <v>130</v>
      </c>
      <c r="Q1163" s="4" t="str">
        <f t="shared" si="62"/>
        <v>赣州市</v>
      </c>
      <c r="R1163" s="4">
        <f t="shared" si="60"/>
        <v>14</v>
      </c>
      <c r="S1163" s="4" t="str">
        <f t="shared" si="61"/>
        <v>江西省</v>
      </c>
    </row>
    <row r="1164" spans="14:19">
      <c r="N1164" s="4">
        <v>1163</v>
      </c>
      <c r="O1164" s="4" t="s">
        <v>2042</v>
      </c>
      <c r="P1164" s="4">
        <v>130</v>
      </c>
      <c r="Q1164" s="4" t="str">
        <f t="shared" si="62"/>
        <v>赣州市</v>
      </c>
      <c r="R1164" s="4">
        <f t="shared" si="60"/>
        <v>14</v>
      </c>
      <c r="S1164" s="4" t="str">
        <f t="shared" si="61"/>
        <v>江西省</v>
      </c>
    </row>
    <row r="1165" spans="14:19">
      <c r="N1165" s="4">
        <v>1164</v>
      </c>
      <c r="O1165" s="4" t="s">
        <v>2043</v>
      </c>
      <c r="P1165" s="4">
        <v>130</v>
      </c>
      <c r="Q1165" s="4" t="str">
        <f t="shared" si="62"/>
        <v>赣州市</v>
      </c>
      <c r="R1165" s="4">
        <f t="shared" si="60"/>
        <v>14</v>
      </c>
      <c r="S1165" s="4" t="str">
        <f t="shared" si="61"/>
        <v>江西省</v>
      </c>
    </row>
    <row r="1166" spans="14:19">
      <c r="N1166" s="4">
        <v>1165</v>
      </c>
      <c r="O1166" s="4" t="s">
        <v>2044</v>
      </c>
      <c r="P1166" s="4">
        <v>130</v>
      </c>
      <c r="Q1166" s="4" t="str">
        <f t="shared" si="62"/>
        <v>赣州市</v>
      </c>
      <c r="R1166" s="4">
        <f t="shared" si="60"/>
        <v>14</v>
      </c>
      <c r="S1166" s="4" t="str">
        <f t="shared" si="61"/>
        <v>江西省</v>
      </c>
    </row>
    <row r="1167" spans="14:19">
      <c r="N1167" s="4">
        <v>1166</v>
      </c>
      <c r="O1167" s="4" t="s">
        <v>2045</v>
      </c>
      <c r="P1167" s="4">
        <v>130</v>
      </c>
      <c r="Q1167" s="4" t="str">
        <f t="shared" si="62"/>
        <v>赣州市</v>
      </c>
      <c r="R1167" s="4">
        <f t="shared" si="60"/>
        <v>14</v>
      </c>
      <c r="S1167" s="4" t="str">
        <f t="shared" si="61"/>
        <v>江西省</v>
      </c>
    </row>
    <row r="1168" spans="14:19">
      <c r="N1168" s="4">
        <v>1167</v>
      </c>
      <c r="O1168" s="4" t="s">
        <v>2046</v>
      </c>
      <c r="P1168" s="4">
        <v>130</v>
      </c>
      <c r="Q1168" s="4" t="str">
        <f t="shared" si="62"/>
        <v>赣州市</v>
      </c>
      <c r="R1168" s="4">
        <f t="shared" si="60"/>
        <v>14</v>
      </c>
      <c r="S1168" s="4" t="str">
        <f t="shared" si="61"/>
        <v>江西省</v>
      </c>
    </row>
    <row r="1169" spans="14:19">
      <c r="N1169" s="4">
        <v>1168</v>
      </c>
      <c r="O1169" s="4" t="s">
        <v>2047</v>
      </c>
      <c r="P1169" s="4">
        <v>130</v>
      </c>
      <c r="Q1169" s="4" t="str">
        <f t="shared" si="62"/>
        <v>赣州市</v>
      </c>
      <c r="R1169" s="4">
        <f t="shared" si="60"/>
        <v>14</v>
      </c>
      <c r="S1169" s="4" t="str">
        <f t="shared" si="61"/>
        <v>江西省</v>
      </c>
    </row>
    <row r="1170" spans="14:19">
      <c r="N1170" s="4">
        <v>1169</v>
      </c>
      <c r="O1170" s="4" t="s">
        <v>2048</v>
      </c>
      <c r="P1170" s="4">
        <v>130</v>
      </c>
      <c r="Q1170" s="4" t="str">
        <f t="shared" si="62"/>
        <v>赣州市</v>
      </c>
      <c r="R1170" s="4">
        <f t="shared" si="60"/>
        <v>14</v>
      </c>
      <c r="S1170" s="4" t="str">
        <f t="shared" si="61"/>
        <v>江西省</v>
      </c>
    </row>
    <row r="1171" spans="14:19">
      <c r="N1171" s="4">
        <v>1170</v>
      </c>
      <c r="O1171" s="4" t="s">
        <v>2049</v>
      </c>
      <c r="P1171" s="4">
        <v>130</v>
      </c>
      <c r="Q1171" s="4" t="str">
        <f t="shared" si="62"/>
        <v>赣州市</v>
      </c>
      <c r="R1171" s="4">
        <f t="shared" si="60"/>
        <v>14</v>
      </c>
      <c r="S1171" s="4" t="str">
        <f t="shared" si="61"/>
        <v>江西省</v>
      </c>
    </row>
    <row r="1172" spans="14:19">
      <c r="N1172" s="4">
        <v>1171</v>
      </c>
      <c r="O1172" s="4" t="s">
        <v>2050</v>
      </c>
      <c r="P1172" s="4">
        <v>130</v>
      </c>
      <c r="Q1172" s="4" t="str">
        <f t="shared" si="62"/>
        <v>赣州市</v>
      </c>
      <c r="R1172" s="4">
        <f t="shared" si="60"/>
        <v>14</v>
      </c>
      <c r="S1172" s="4" t="str">
        <f t="shared" si="61"/>
        <v>江西省</v>
      </c>
    </row>
    <row r="1173" spans="14:19">
      <c r="N1173" s="4">
        <v>1172</v>
      </c>
      <c r="O1173" s="4" t="s">
        <v>2051</v>
      </c>
      <c r="P1173" s="4">
        <v>130</v>
      </c>
      <c r="Q1173" s="4" t="str">
        <f t="shared" si="62"/>
        <v>赣州市</v>
      </c>
      <c r="R1173" s="4">
        <f t="shared" si="60"/>
        <v>14</v>
      </c>
      <c r="S1173" s="4" t="str">
        <f t="shared" si="61"/>
        <v>江西省</v>
      </c>
    </row>
    <row r="1174" spans="14:19">
      <c r="N1174" s="4">
        <v>1173</v>
      </c>
      <c r="O1174" s="4" t="s">
        <v>2052</v>
      </c>
      <c r="P1174" s="4">
        <v>130</v>
      </c>
      <c r="Q1174" s="4" t="str">
        <f t="shared" si="62"/>
        <v>赣州市</v>
      </c>
      <c r="R1174" s="4">
        <f t="shared" si="60"/>
        <v>14</v>
      </c>
      <c r="S1174" s="4" t="str">
        <f t="shared" si="61"/>
        <v>江西省</v>
      </c>
    </row>
    <row r="1175" spans="14:19">
      <c r="N1175" s="4">
        <v>1174</v>
      </c>
      <c r="O1175" s="4" t="s">
        <v>2053</v>
      </c>
      <c r="P1175" s="4">
        <v>130</v>
      </c>
      <c r="Q1175" s="4" t="str">
        <f t="shared" si="62"/>
        <v>赣州市</v>
      </c>
      <c r="R1175" s="4">
        <f t="shared" si="60"/>
        <v>14</v>
      </c>
      <c r="S1175" s="4" t="str">
        <f t="shared" si="61"/>
        <v>江西省</v>
      </c>
    </row>
    <row r="1176" spans="14:19">
      <c r="N1176" s="4">
        <v>1175</v>
      </c>
      <c r="O1176" s="4" t="s">
        <v>2054</v>
      </c>
      <c r="P1176" s="4">
        <v>130</v>
      </c>
      <c r="Q1176" s="4" t="str">
        <f t="shared" si="62"/>
        <v>赣州市</v>
      </c>
      <c r="R1176" s="4">
        <f t="shared" si="60"/>
        <v>14</v>
      </c>
      <c r="S1176" s="4" t="str">
        <f t="shared" si="61"/>
        <v>江西省</v>
      </c>
    </row>
    <row r="1177" spans="14:19">
      <c r="N1177" s="4">
        <v>1176</v>
      </c>
      <c r="O1177" s="4" t="s">
        <v>2055</v>
      </c>
      <c r="P1177" s="4">
        <v>130</v>
      </c>
      <c r="Q1177" s="4" t="str">
        <f t="shared" si="62"/>
        <v>赣州市</v>
      </c>
      <c r="R1177" s="4">
        <f t="shared" si="60"/>
        <v>14</v>
      </c>
      <c r="S1177" s="4" t="str">
        <f t="shared" si="61"/>
        <v>江西省</v>
      </c>
    </row>
    <row r="1178" spans="14:19">
      <c r="N1178" s="4">
        <v>1177</v>
      </c>
      <c r="O1178" s="4" t="s">
        <v>2056</v>
      </c>
      <c r="P1178" s="4">
        <v>131</v>
      </c>
      <c r="Q1178" s="4" t="str">
        <f t="shared" si="62"/>
        <v>吉安市</v>
      </c>
      <c r="R1178" s="4">
        <f t="shared" si="60"/>
        <v>14</v>
      </c>
      <c r="S1178" s="4" t="str">
        <f t="shared" si="61"/>
        <v>江西省</v>
      </c>
    </row>
    <row r="1179" spans="14:19">
      <c r="N1179" s="4">
        <v>1178</v>
      </c>
      <c r="O1179" s="4" t="s">
        <v>2057</v>
      </c>
      <c r="P1179" s="4">
        <v>131</v>
      </c>
      <c r="Q1179" s="4" t="str">
        <f t="shared" si="62"/>
        <v>吉安市</v>
      </c>
      <c r="R1179" s="4">
        <f t="shared" si="60"/>
        <v>14</v>
      </c>
      <c r="S1179" s="4" t="str">
        <f t="shared" si="61"/>
        <v>江西省</v>
      </c>
    </row>
    <row r="1180" spans="14:19">
      <c r="N1180" s="4">
        <v>1179</v>
      </c>
      <c r="O1180" s="4" t="s">
        <v>2058</v>
      </c>
      <c r="P1180" s="4">
        <v>131</v>
      </c>
      <c r="Q1180" s="4" t="str">
        <f t="shared" si="62"/>
        <v>吉安市</v>
      </c>
      <c r="R1180" s="4">
        <f t="shared" si="60"/>
        <v>14</v>
      </c>
      <c r="S1180" s="4" t="str">
        <f t="shared" si="61"/>
        <v>江西省</v>
      </c>
    </row>
    <row r="1181" spans="14:19">
      <c r="N1181" s="4">
        <v>1180</v>
      </c>
      <c r="O1181" s="4" t="s">
        <v>2059</v>
      </c>
      <c r="P1181" s="4">
        <v>131</v>
      </c>
      <c r="Q1181" s="4" t="str">
        <f t="shared" si="62"/>
        <v>吉安市</v>
      </c>
      <c r="R1181" s="4">
        <f t="shared" si="60"/>
        <v>14</v>
      </c>
      <c r="S1181" s="4" t="str">
        <f t="shared" si="61"/>
        <v>江西省</v>
      </c>
    </row>
    <row r="1182" spans="14:19">
      <c r="N1182" s="4">
        <v>1181</v>
      </c>
      <c r="O1182" s="4" t="s">
        <v>2060</v>
      </c>
      <c r="P1182" s="4">
        <v>131</v>
      </c>
      <c r="Q1182" s="4" t="str">
        <f t="shared" si="62"/>
        <v>吉安市</v>
      </c>
      <c r="R1182" s="4">
        <f t="shared" si="60"/>
        <v>14</v>
      </c>
      <c r="S1182" s="4" t="str">
        <f t="shared" si="61"/>
        <v>江西省</v>
      </c>
    </row>
    <row r="1183" spans="14:19">
      <c r="N1183" s="4">
        <v>1182</v>
      </c>
      <c r="O1183" s="4" t="s">
        <v>2061</v>
      </c>
      <c r="P1183" s="4">
        <v>131</v>
      </c>
      <c r="Q1183" s="4" t="str">
        <f t="shared" si="62"/>
        <v>吉安市</v>
      </c>
      <c r="R1183" s="4">
        <f t="shared" si="60"/>
        <v>14</v>
      </c>
      <c r="S1183" s="4" t="str">
        <f t="shared" si="61"/>
        <v>江西省</v>
      </c>
    </row>
    <row r="1184" spans="14:19">
      <c r="N1184" s="4">
        <v>1183</v>
      </c>
      <c r="O1184" s="4" t="s">
        <v>2062</v>
      </c>
      <c r="P1184" s="4">
        <v>131</v>
      </c>
      <c r="Q1184" s="4" t="str">
        <f t="shared" si="62"/>
        <v>吉安市</v>
      </c>
      <c r="R1184" s="4">
        <f t="shared" si="60"/>
        <v>14</v>
      </c>
      <c r="S1184" s="4" t="str">
        <f t="shared" si="61"/>
        <v>江西省</v>
      </c>
    </row>
    <row r="1185" spans="14:19">
      <c r="N1185" s="4">
        <v>1184</v>
      </c>
      <c r="O1185" s="4" t="s">
        <v>2063</v>
      </c>
      <c r="P1185" s="4">
        <v>131</v>
      </c>
      <c r="Q1185" s="4" t="str">
        <f t="shared" si="62"/>
        <v>吉安市</v>
      </c>
      <c r="R1185" s="4">
        <f t="shared" si="60"/>
        <v>14</v>
      </c>
      <c r="S1185" s="4" t="str">
        <f t="shared" si="61"/>
        <v>江西省</v>
      </c>
    </row>
    <row r="1186" spans="14:19">
      <c r="N1186" s="4">
        <v>1185</v>
      </c>
      <c r="O1186" s="4" t="s">
        <v>2064</v>
      </c>
      <c r="P1186" s="4">
        <v>131</v>
      </c>
      <c r="Q1186" s="4" t="str">
        <f t="shared" si="62"/>
        <v>吉安市</v>
      </c>
      <c r="R1186" s="4">
        <f t="shared" si="60"/>
        <v>14</v>
      </c>
      <c r="S1186" s="4" t="str">
        <f t="shared" si="61"/>
        <v>江西省</v>
      </c>
    </row>
    <row r="1187" spans="14:19">
      <c r="N1187" s="4">
        <v>1186</v>
      </c>
      <c r="O1187" s="4" t="s">
        <v>2065</v>
      </c>
      <c r="P1187" s="4">
        <v>131</v>
      </c>
      <c r="Q1187" s="4" t="str">
        <f t="shared" si="62"/>
        <v>吉安市</v>
      </c>
      <c r="R1187" s="4">
        <f t="shared" si="60"/>
        <v>14</v>
      </c>
      <c r="S1187" s="4" t="str">
        <f t="shared" si="61"/>
        <v>江西省</v>
      </c>
    </row>
    <row r="1188" spans="14:19">
      <c r="N1188" s="4">
        <v>1187</v>
      </c>
      <c r="O1188" s="4" t="s">
        <v>2066</v>
      </c>
      <c r="P1188" s="4">
        <v>131</v>
      </c>
      <c r="Q1188" s="4" t="str">
        <f t="shared" si="62"/>
        <v>吉安市</v>
      </c>
      <c r="R1188" s="4">
        <f t="shared" si="60"/>
        <v>14</v>
      </c>
      <c r="S1188" s="4" t="str">
        <f t="shared" si="61"/>
        <v>江西省</v>
      </c>
    </row>
    <row r="1189" spans="14:19">
      <c r="N1189" s="4">
        <v>1188</v>
      </c>
      <c r="O1189" s="4" t="s">
        <v>2067</v>
      </c>
      <c r="P1189" s="4">
        <v>131</v>
      </c>
      <c r="Q1189" s="4" t="str">
        <f t="shared" si="62"/>
        <v>吉安市</v>
      </c>
      <c r="R1189" s="4">
        <f t="shared" si="60"/>
        <v>14</v>
      </c>
      <c r="S1189" s="4" t="str">
        <f t="shared" si="61"/>
        <v>江西省</v>
      </c>
    </row>
    <row r="1190" spans="14:19">
      <c r="N1190" s="4">
        <v>1189</v>
      </c>
      <c r="O1190" s="4" t="s">
        <v>2068</v>
      </c>
      <c r="P1190" s="4">
        <v>131</v>
      </c>
      <c r="Q1190" s="4" t="str">
        <f t="shared" si="62"/>
        <v>吉安市</v>
      </c>
      <c r="R1190" s="4">
        <f t="shared" si="60"/>
        <v>14</v>
      </c>
      <c r="S1190" s="4" t="str">
        <f t="shared" si="61"/>
        <v>江西省</v>
      </c>
    </row>
    <row r="1191" spans="14:19">
      <c r="N1191" s="4">
        <v>1190</v>
      </c>
      <c r="O1191" s="4" t="s">
        <v>2069</v>
      </c>
      <c r="P1191" s="4">
        <v>132</v>
      </c>
      <c r="Q1191" s="4" t="str">
        <f t="shared" si="62"/>
        <v>宜春市</v>
      </c>
      <c r="R1191" s="4">
        <f t="shared" si="60"/>
        <v>14</v>
      </c>
      <c r="S1191" s="4" t="str">
        <f t="shared" si="61"/>
        <v>江西省</v>
      </c>
    </row>
    <row r="1192" spans="14:19">
      <c r="N1192" s="4">
        <v>1191</v>
      </c>
      <c r="O1192" s="4" t="s">
        <v>2070</v>
      </c>
      <c r="P1192" s="4">
        <v>132</v>
      </c>
      <c r="Q1192" s="4" t="str">
        <f t="shared" si="62"/>
        <v>宜春市</v>
      </c>
      <c r="R1192" s="4">
        <f t="shared" si="60"/>
        <v>14</v>
      </c>
      <c r="S1192" s="4" t="str">
        <f t="shared" si="61"/>
        <v>江西省</v>
      </c>
    </row>
    <row r="1193" spans="14:19">
      <c r="N1193" s="4">
        <v>1192</v>
      </c>
      <c r="O1193" s="4" t="s">
        <v>2071</v>
      </c>
      <c r="P1193" s="4">
        <v>132</v>
      </c>
      <c r="Q1193" s="4" t="str">
        <f t="shared" si="62"/>
        <v>宜春市</v>
      </c>
      <c r="R1193" s="4">
        <f t="shared" si="60"/>
        <v>14</v>
      </c>
      <c r="S1193" s="4" t="str">
        <f t="shared" si="61"/>
        <v>江西省</v>
      </c>
    </row>
    <row r="1194" spans="14:19">
      <c r="N1194" s="4">
        <v>1193</v>
      </c>
      <c r="O1194" s="4" t="s">
        <v>2072</v>
      </c>
      <c r="P1194" s="4">
        <v>132</v>
      </c>
      <c r="Q1194" s="4" t="str">
        <f t="shared" si="62"/>
        <v>宜春市</v>
      </c>
      <c r="R1194" s="4">
        <f t="shared" si="60"/>
        <v>14</v>
      </c>
      <c r="S1194" s="4" t="str">
        <f t="shared" si="61"/>
        <v>江西省</v>
      </c>
    </row>
    <row r="1195" spans="14:19">
      <c r="N1195" s="4">
        <v>1194</v>
      </c>
      <c r="O1195" s="4" t="s">
        <v>2073</v>
      </c>
      <c r="P1195" s="4">
        <v>132</v>
      </c>
      <c r="Q1195" s="4" t="str">
        <f t="shared" si="62"/>
        <v>宜春市</v>
      </c>
      <c r="R1195" s="4">
        <f t="shared" si="60"/>
        <v>14</v>
      </c>
      <c r="S1195" s="4" t="str">
        <f t="shared" si="61"/>
        <v>江西省</v>
      </c>
    </row>
    <row r="1196" spans="14:19">
      <c r="N1196" s="4">
        <v>1195</v>
      </c>
      <c r="O1196" s="4" t="s">
        <v>2074</v>
      </c>
      <c r="P1196" s="4">
        <v>132</v>
      </c>
      <c r="Q1196" s="4" t="str">
        <f t="shared" si="62"/>
        <v>宜春市</v>
      </c>
      <c r="R1196" s="4">
        <f t="shared" si="60"/>
        <v>14</v>
      </c>
      <c r="S1196" s="4" t="str">
        <f t="shared" si="61"/>
        <v>江西省</v>
      </c>
    </row>
    <row r="1197" spans="14:19">
      <c r="N1197" s="4">
        <v>1196</v>
      </c>
      <c r="O1197" s="4" t="s">
        <v>2075</v>
      </c>
      <c r="P1197" s="4">
        <v>132</v>
      </c>
      <c r="Q1197" s="4" t="str">
        <f t="shared" si="62"/>
        <v>宜春市</v>
      </c>
      <c r="R1197" s="4">
        <f t="shared" si="60"/>
        <v>14</v>
      </c>
      <c r="S1197" s="4" t="str">
        <f t="shared" si="61"/>
        <v>江西省</v>
      </c>
    </row>
    <row r="1198" spans="14:19">
      <c r="N1198" s="4">
        <v>1197</v>
      </c>
      <c r="O1198" s="4" t="s">
        <v>2076</v>
      </c>
      <c r="P1198" s="4">
        <v>132</v>
      </c>
      <c r="Q1198" s="4" t="str">
        <f t="shared" si="62"/>
        <v>宜春市</v>
      </c>
      <c r="R1198" s="4">
        <f t="shared" si="60"/>
        <v>14</v>
      </c>
      <c r="S1198" s="4" t="str">
        <f t="shared" si="61"/>
        <v>江西省</v>
      </c>
    </row>
    <row r="1199" spans="14:19">
      <c r="N1199" s="4">
        <v>1198</v>
      </c>
      <c r="O1199" s="4" t="s">
        <v>2077</v>
      </c>
      <c r="P1199" s="4">
        <v>132</v>
      </c>
      <c r="Q1199" s="4" t="str">
        <f t="shared" si="62"/>
        <v>宜春市</v>
      </c>
      <c r="R1199" s="4">
        <f t="shared" si="60"/>
        <v>14</v>
      </c>
      <c r="S1199" s="4" t="str">
        <f t="shared" si="61"/>
        <v>江西省</v>
      </c>
    </row>
    <row r="1200" spans="14:19">
      <c r="N1200" s="4">
        <v>1199</v>
      </c>
      <c r="O1200" s="4" t="s">
        <v>2078</v>
      </c>
      <c r="P1200" s="4">
        <v>132</v>
      </c>
      <c r="Q1200" s="4" t="str">
        <f t="shared" si="62"/>
        <v>宜春市</v>
      </c>
      <c r="R1200" s="4">
        <f t="shared" si="60"/>
        <v>14</v>
      </c>
      <c r="S1200" s="4" t="str">
        <f t="shared" si="61"/>
        <v>江西省</v>
      </c>
    </row>
    <row r="1201" spans="14:19">
      <c r="N1201" s="4">
        <v>1200</v>
      </c>
      <c r="O1201" s="4" t="s">
        <v>2079</v>
      </c>
      <c r="P1201" s="4">
        <v>133</v>
      </c>
      <c r="Q1201" s="4" t="str">
        <f t="shared" si="62"/>
        <v>抚州市</v>
      </c>
      <c r="R1201" s="4">
        <f t="shared" si="60"/>
        <v>14</v>
      </c>
      <c r="S1201" s="4" t="str">
        <f t="shared" si="61"/>
        <v>江西省</v>
      </c>
    </row>
    <row r="1202" spans="14:19">
      <c r="N1202" s="4">
        <v>1201</v>
      </c>
      <c r="O1202" s="4" t="s">
        <v>2080</v>
      </c>
      <c r="P1202" s="4">
        <v>133</v>
      </c>
      <c r="Q1202" s="4" t="str">
        <f t="shared" si="62"/>
        <v>抚州市</v>
      </c>
      <c r="R1202" s="4">
        <f t="shared" si="60"/>
        <v>14</v>
      </c>
      <c r="S1202" s="4" t="str">
        <f t="shared" si="61"/>
        <v>江西省</v>
      </c>
    </row>
    <row r="1203" spans="14:19">
      <c r="N1203" s="4">
        <v>1202</v>
      </c>
      <c r="O1203" s="4" t="s">
        <v>2081</v>
      </c>
      <c r="P1203" s="4">
        <v>133</v>
      </c>
      <c r="Q1203" s="4" t="str">
        <f t="shared" si="62"/>
        <v>抚州市</v>
      </c>
      <c r="R1203" s="4">
        <f t="shared" si="60"/>
        <v>14</v>
      </c>
      <c r="S1203" s="4" t="str">
        <f t="shared" si="61"/>
        <v>江西省</v>
      </c>
    </row>
    <row r="1204" spans="14:19">
      <c r="N1204" s="4">
        <v>1203</v>
      </c>
      <c r="O1204" s="4" t="s">
        <v>2082</v>
      </c>
      <c r="P1204" s="4">
        <v>133</v>
      </c>
      <c r="Q1204" s="4" t="str">
        <f t="shared" si="62"/>
        <v>抚州市</v>
      </c>
      <c r="R1204" s="4">
        <f t="shared" si="60"/>
        <v>14</v>
      </c>
      <c r="S1204" s="4" t="str">
        <f t="shared" si="61"/>
        <v>江西省</v>
      </c>
    </row>
    <row r="1205" spans="14:19">
      <c r="N1205" s="4">
        <v>1204</v>
      </c>
      <c r="O1205" s="4" t="s">
        <v>2083</v>
      </c>
      <c r="P1205" s="4">
        <v>133</v>
      </c>
      <c r="Q1205" s="4" t="str">
        <f t="shared" si="62"/>
        <v>抚州市</v>
      </c>
      <c r="R1205" s="4">
        <f t="shared" si="60"/>
        <v>14</v>
      </c>
      <c r="S1205" s="4" t="str">
        <f t="shared" si="61"/>
        <v>江西省</v>
      </c>
    </row>
    <row r="1206" spans="14:19">
      <c r="N1206" s="4">
        <v>1205</v>
      </c>
      <c r="O1206" s="4" t="s">
        <v>2084</v>
      </c>
      <c r="P1206" s="4">
        <v>133</v>
      </c>
      <c r="Q1206" s="4" t="str">
        <f t="shared" si="62"/>
        <v>抚州市</v>
      </c>
      <c r="R1206" s="4">
        <f t="shared" si="60"/>
        <v>14</v>
      </c>
      <c r="S1206" s="4" t="str">
        <f t="shared" si="61"/>
        <v>江西省</v>
      </c>
    </row>
    <row r="1207" spans="14:19">
      <c r="N1207" s="4">
        <v>1206</v>
      </c>
      <c r="O1207" s="4" t="s">
        <v>2085</v>
      </c>
      <c r="P1207" s="4">
        <v>133</v>
      </c>
      <c r="Q1207" s="4" t="str">
        <f t="shared" si="62"/>
        <v>抚州市</v>
      </c>
      <c r="R1207" s="4">
        <f t="shared" si="60"/>
        <v>14</v>
      </c>
      <c r="S1207" s="4" t="str">
        <f t="shared" si="61"/>
        <v>江西省</v>
      </c>
    </row>
    <row r="1208" spans="14:19">
      <c r="N1208" s="4">
        <v>1207</v>
      </c>
      <c r="O1208" s="4" t="s">
        <v>2086</v>
      </c>
      <c r="P1208" s="4">
        <v>133</v>
      </c>
      <c r="Q1208" s="4" t="str">
        <f t="shared" si="62"/>
        <v>抚州市</v>
      </c>
      <c r="R1208" s="4">
        <f t="shared" si="60"/>
        <v>14</v>
      </c>
      <c r="S1208" s="4" t="str">
        <f t="shared" si="61"/>
        <v>江西省</v>
      </c>
    </row>
    <row r="1209" spans="14:19">
      <c r="N1209" s="4">
        <v>1208</v>
      </c>
      <c r="O1209" s="4" t="s">
        <v>2087</v>
      </c>
      <c r="P1209" s="4">
        <v>133</v>
      </c>
      <c r="Q1209" s="4" t="str">
        <f t="shared" si="62"/>
        <v>抚州市</v>
      </c>
      <c r="R1209" s="4">
        <f t="shared" si="60"/>
        <v>14</v>
      </c>
      <c r="S1209" s="4" t="str">
        <f t="shared" si="61"/>
        <v>江西省</v>
      </c>
    </row>
    <row r="1210" spans="14:19">
      <c r="N1210" s="4">
        <v>1209</v>
      </c>
      <c r="O1210" s="4" t="s">
        <v>2088</v>
      </c>
      <c r="P1210" s="4">
        <v>133</v>
      </c>
      <c r="Q1210" s="4" t="str">
        <f t="shared" si="62"/>
        <v>抚州市</v>
      </c>
      <c r="R1210" s="4">
        <f t="shared" si="60"/>
        <v>14</v>
      </c>
      <c r="S1210" s="4" t="str">
        <f t="shared" si="61"/>
        <v>江西省</v>
      </c>
    </row>
    <row r="1211" spans="14:19">
      <c r="N1211" s="4">
        <v>1210</v>
      </c>
      <c r="O1211" s="4" t="s">
        <v>2089</v>
      </c>
      <c r="P1211" s="4">
        <v>133</v>
      </c>
      <c r="Q1211" s="4" t="str">
        <f t="shared" si="62"/>
        <v>抚州市</v>
      </c>
      <c r="R1211" s="4">
        <f t="shared" si="60"/>
        <v>14</v>
      </c>
      <c r="S1211" s="4" t="str">
        <f t="shared" si="61"/>
        <v>江西省</v>
      </c>
    </row>
    <row r="1212" spans="14:19">
      <c r="N1212" s="4">
        <v>1211</v>
      </c>
      <c r="O1212" s="4" t="s">
        <v>2090</v>
      </c>
      <c r="P1212" s="4">
        <v>134</v>
      </c>
      <c r="Q1212" s="4" t="str">
        <f t="shared" si="62"/>
        <v>上饶市</v>
      </c>
      <c r="R1212" s="4">
        <f t="shared" si="60"/>
        <v>14</v>
      </c>
      <c r="S1212" s="4" t="str">
        <f t="shared" si="61"/>
        <v>江西省</v>
      </c>
    </row>
    <row r="1213" spans="14:19">
      <c r="N1213" s="4">
        <v>1212</v>
      </c>
      <c r="O1213" s="4" t="s">
        <v>2091</v>
      </c>
      <c r="P1213" s="4">
        <v>134</v>
      </c>
      <c r="Q1213" s="4" t="str">
        <f t="shared" si="62"/>
        <v>上饶市</v>
      </c>
      <c r="R1213" s="4">
        <f t="shared" si="60"/>
        <v>14</v>
      </c>
      <c r="S1213" s="4" t="str">
        <f t="shared" si="61"/>
        <v>江西省</v>
      </c>
    </row>
    <row r="1214" spans="14:19">
      <c r="N1214" s="4">
        <v>1213</v>
      </c>
      <c r="O1214" s="4" t="s">
        <v>2092</v>
      </c>
      <c r="P1214" s="4">
        <v>134</v>
      </c>
      <c r="Q1214" s="4" t="str">
        <f t="shared" si="62"/>
        <v>上饶市</v>
      </c>
      <c r="R1214" s="4">
        <f t="shared" si="60"/>
        <v>14</v>
      </c>
      <c r="S1214" s="4" t="str">
        <f t="shared" si="61"/>
        <v>江西省</v>
      </c>
    </row>
    <row r="1215" spans="14:19">
      <c r="N1215" s="4">
        <v>1214</v>
      </c>
      <c r="O1215" s="4" t="s">
        <v>2093</v>
      </c>
      <c r="P1215" s="4">
        <v>134</v>
      </c>
      <c r="Q1215" s="4" t="str">
        <f t="shared" si="62"/>
        <v>上饶市</v>
      </c>
      <c r="R1215" s="4">
        <f t="shared" si="60"/>
        <v>14</v>
      </c>
      <c r="S1215" s="4" t="str">
        <f t="shared" si="61"/>
        <v>江西省</v>
      </c>
    </row>
    <row r="1216" spans="14:19">
      <c r="N1216" s="4">
        <v>1215</v>
      </c>
      <c r="O1216" s="4" t="s">
        <v>2094</v>
      </c>
      <c r="P1216" s="4">
        <v>134</v>
      </c>
      <c r="Q1216" s="4" t="str">
        <f t="shared" si="62"/>
        <v>上饶市</v>
      </c>
      <c r="R1216" s="4">
        <f t="shared" si="60"/>
        <v>14</v>
      </c>
      <c r="S1216" s="4" t="str">
        <f t="shared" si="61"/>
        <v>江西省</v>
      </c>
    </row>
    <row r="1217" spans="14:19">
      <c r="N1217" s="4">
        <v>1216</v>
      </c>
      <c r="O1217" s="4" t="s">
        <v>2095</v>
      </c>
      <c r="P1217" s="4">
        <v>134</v>
      </c>
      <c r="Q1217" s="4" t="str">
        <f t="shared" si="62"/>
        <v>上饶市</v>
      </c>
      <c r="R1217" s="4">
        <f t="shared" si="60"/>
        <v>14</v>
      </c>
      <c r="S1217" s="4" t="str">
        <f t="shared" si="61"/>
        <v>江西省</v>
      </c>
    </row>
    <row r="1218" spans="14:19">
      <c r="N1218" s="4">
        <v>1217</v>
      </c>
      <c r="O1218" s="4" t="s">
        <v>2096</v>
      </c>
      <c r="P1218" s="4">
        <v>134</v>
      </c>
      <c r="Q1218" s="4" t="str">
        <f t="shared" si="62"/>
        <v>上饶市</v>
      </c>
      <c r="R1218" s="4">
        <f t="shared" ref="R1218:R1281" si="63">VLOOKUP(P1218,$I$2:$M$346,3,FALSE)</f>
        <v>14</v>
      </c>
      <c r="S1218" s="4" t="str">
        <f t="shared" ref="S1218:S1281" si="64">VLOOKUP(P1218,$I$2:$M$346,4,FALSE)</f>
        <v>江西省</v>
      </c>
    </row>
    <row r="1219" spans="14:19">
      <c r="N1219" s="4">
        <v>1218</v>
      </c>
      <c r="O1219" s="4" t="s">
        <v>2097</v>
      </c>
      <c r="P1219" s="4">
        <v>134</v>
      </c>
      <c r="Q1219" s="4" t="str">
        <f t="shared" ref="Q1219:Q1282" si="65">VLOOKUP(P1219,$I$2:$J$346,2,FALSE)</f>
        <v>上饶市</v>
      </c>
      <c r="R1219" s="4">
        <f t="shared" si="63"/>
        <v>14</v>
      </c>
      <c r="S1219" s="4" t="str">
        <f t="shared" si="64"/>
        <v>江西省</v>
      </c>
    </row>
    <row r="1220" spans="14:19">
      <c r="N1220" s="4">
        <v>1219</v>
      </c>
      <c r="O1220" s="4" t="s">
        <v>2098</v>
      </c>
      <c r="P1220" s="4">
        <v>134</v>
      </c>
      <c r="Q1220" s="4" t="str">
        <f t="shared" si="65"/>
        <v>上饶市</v>
      </c>
      <c r="R1220" s="4">
        <f t="shared" si="63"/>
        <v>14</v>
      </c>
      <c r="S1220" s="4" t="str">
        <f t="shared" si="64"/>
        <v>江西省</v>
      </c>
    </row>
    <row r="1221" spans="14:19">
      <c r="N1221" s="4">
        <v>1220</v>
      </c>
      <c r="O1221" s="4" t="s">
        <v>2099</v>
      </c>
      <c r="P1221" s="4">
        <v>134</v>
      </c>
      <c r="Q1221" s="4" t="str">
        <f t="shared" si="65"/>
        <v>上饶市</v>
      </c>
      <c r="R1221" s="4">
        <f t="shared" si="63"/>
        <v>14</v>
      </c>
      <c r="S1221" s="4" t="str">
        <f t="shared" si="64"/>
        <v>江西省</v>
      </c>
    </row>
    <row r="1222" spans="14:19">
      <c r="N1222" s="4">
        <v>1221</v>
      </c>
      <c r="O1222" s="4" t="s">
        <v>2100</v>
      </c>
      <c r="P1222" s="4">
        <v>134</v>
      </c>
      <c r="Q1222" s="4" t="str">
        <f t="shared" si="65"/>
        <v>上饶市</v>
      </c>
      <c r="R1222" s="4">
        <f t="shared" si="63"/>
        <v>14</v>
      </c>
      <c r="S1222" s="4" t="str">
        <f t="shared" si="64"/>
        <v>江西省</v>
      </c>
    </row>
    <row r="1223" spans="14:19">
      <c r="N1223" s="4">
        <v>1222</v>
      </c>
      <c r="O1223" s="4" t="s">
        <v>2101</v>
      </c>
      <c r="P1223" s="4">
        <v>134</v>
      </c>
      <c r="Q1223" s="4" t="str">
        <f t="shared" si="65"/>
        <v>上饶市</v>
      </c>
      <c r="R1223" s="4">
        <f t="shared" si="63"/>
        <v>14</v>
      </c>
      <c r="S1223" s="4" t="str">
        <f t="shared" si="64"/>
        <v>江西省</v>
      </c>
    </row>
    <row r="1224" spans="14:19">
      <c r="N1224" s="4">
        <v>1223</v>
      </c>
      <c r="O1224" s="4" t="s">
        <v>2102</v>
      </c>
      <c r="P1224" s="4">
        <v>135</v>
      </c>
      <c r="Q1224" s="4" t="str">
        <f t="shared" si="65"/>
        <v>济南市</v>
      </c>
      <c r="R1224" s="4">
        <f t="shared" si="63"/>
        <v>15</v>
      </c>
      <c r="S1224" s="4" t="str">
        <f t="shared" si="64"/>
        <v>山东省</v>
      </c>
    </row>
    <row r="1225" spans="14:19">
      <c r="N1225" s="4">
        <v>1224</v>
      </c>
      <c r="O1225" s="4" t="s">
        <v>2103</v>
      </c>
      <c r="P1225" s="4">
        <v>135</v>
      </c>
      <c r="Q1225" s="4" t="str">
        <f t="shared" si="65"/>
        <v>济南市</v>
      </c>
      <c r="R1225" s="4">
        <f t="shared" si="63"/>
        <v>15</v>
      </c>
      <c r="S1225" s="4" t="str">
        <f t="shared" si="64"/>
        <v>山东省</v>
      </c>
    </row>
    <row r="1226" spans="14:19">
      <c r="N1226" s="4">
        <v>1225</v>
      </c>
      <c r="O1226" s="4" t="s">
        <v>2104</v>
      </c>
      <c r="P1226" s="4">
        <v>135</v>
      </c>
      <c r="Q1226" s="4" t="str">
        <f t="shared" si="65"/>
        <v>济南市</v>
      </c>
      <c r="R1226" s="4">
        <f t="shared" si="63"/>
        <v>15</v>
      </c>
      <c r="S1226" s="4" t="str">
        <f t="shared" si="64"/>
        <v>山东省</v>
      </c>
    </row>
    <row r="1227" spans="14:19">
      <c r="N1227" s="4">
        <v>1226</v>
      </c>
      <c r="O1227" s="4" t="s">
        <v>2105</v>
      </c>
      <c r="P1227" s="4">
        <v>135</v>
      </c>
      <c r="Q1227" s="4" t="str">
        <f t="shared" si="65"/>
        <v>济南市</v>
      </c>
      <c r="R1227" s="4">
        <f t="shared" si="63"/>
        <v>15</v>
      </c>
      <c r="S1227" s="4" t="str">
        <f t="shared" si="64"/>
        <v>山东省</v>
      </c>
    </row>
    <row r="1228" spans="14:19">
      <c r="N1228" s="4">
        <v>1227</v>
      </c>
      <c r="O1228" s="4" t="s">
        <v>2106</v>
      </c>
      <c r="P1228" s="4">
        <v>135</v>
      </c>
      <c r="Q1228" s="4" t="str">
        <f t="shared" si="65"/>
        <v>济南市</v>
      </c>
      <c r="R1228" s="4">
        <f t="shared" si="63"/>
        <v>15</v>
      </c>
      <c r="S1228" s="4" t="str">
        <f t="shared" si="64"/>
        <v>山东省</v>
      </c>
    </row>
    <row r="1229" spans="14:19">
      <c r="N1229" s="4">
        <v>1228</v>
      </c>
      <c r="O1229" s="4" t="s">
        <v>2107</v>
      </c>
      <c r="P1229" s="4">
        <v>135</v>
      </c>
      <c r="Q1229" s="4" t="str">
        <f t="shared" si="65"/>
        <v>济南市</v>
      </c>
      <c r="R1229" s="4">
        <f t="shared" si="63"/>
        <v>15</v>
      </c>
      <c r="S1229" s="4" t="str">
        <f t="shared" si="64"/>
        <v>山东省</v>
      </c>
    </row>
    <row r="1230" spans="14:19">
      <c r="N1230" s="4">
        <v>1229</v>
      </c>
      <c r="O1230" s="4" t="s">
        <v>2108</v>
      </c>
      <c r="P1230" s="4">
        <v>135</v>
      </c>
      <c r="Q1230" s="4" t="str">
        <f t="shared" si="65"/>
        <v>济南市</v>
      </c>
      <c r="R1230" s="4">
        <f t="shared" si="63"/>
        <v>15</v>
      </c>
      <c r="S1230" s="4" t="str">
        <f t="shared" si="64"/>
        <v>山东省</v>
      </c>
    </row>
    <row r="1231" spans="14:19">
      <c r="N1231" s="4">
        <v>1230</v>
      </c>
      <c r="O1231" s="4" t="s">
        <v>2109</v>
      </c>
      <c r="P1231" s="4">
        <v>135</v>
      </c>
      <c r="Q1231" s="4" t="str">
        <f t="shared" si="65"/>
        <v>济南市</v>
      </c>
      <c r="R1231" s="4">
        <f t="shared" si="63"/>
        <v>15</v>
      </c>
      <c r="S1231" s="4" t="str">
        <f t="shared" si="64"/>
        <v>山东省</v>
      </c>
    </row>
    <row r="1232" spans="14:19">
      <c r="N1232" s="4">
        <v>1231</v>
      </c>
      <c r="O1232" s="4" t="s">
        <v>2110</v>
      </c>
      <c r="P1232" s="4">
        <v>135</v>
      </c>
      <c r="Q1232" s="4" t="str">
        <f t="shared" si="65"/>
        <v>济南市</v>
      </c>
      <c r="R1232" s="4">
        <f t="shared" si="63"/>
        <v>15</v>
      </c>
      <c r="S1232" s="4" t="str">
        <f t="shared" si="64"/>
        <v>山东省</v>
      </c>
    </row>
    <row r="1233" spans="14:19">
      <c r="N1233" s="4">
        <v>1232</v>
      </c>
      <c r="O1233" s="4" t="s">
        <v>2111</v>
      </c>
      <c r="P1233" s="4">
        <v>135</v>
      </c>
      <c r="Q1233" s="4" t="str">
        <f t="shared" si="65"/>
        <v>济南市</v>
      </c>
      <c r="R1233" s="4">
        <f t="shared" si="63"/>
        <v>15</v>
      </c>
      <c r="S1233" s="4" t="str">
        <f t="shared" si="64"/>
        <v>山东省</v>
      </c>
    </row>
    <row r="1234" spans="14:19">
      <c r="N1234" s="4">
        <v>1233</v>
      </c>
      <c r="O1234" s="4" t="s">
        <v>2112</v>
      </c>
      <c r="P1234" s="4">
        <v>136</v>
      </c>
      <c r="Q1234" s="4" t="str">
        <f t="shared" si="65"/>
        <v>青岛市</v>
      </c>
      <c r="R1234" s="4">
        <f t="shared" si="63"/>
        <v>15</v>
      </c>
      <c r="S1234" s="4" t="str">
        <f t="shared" si="64"/>
        <v>山东省</v>
      </c>
    </row>
    <row r="1235" spans="14:19">
      <c r="N1235" s="4">
        <v>1234</v>
      </c>
      <c r="O1235" s="4" t="s">
        <v>2113</v>
      </c>
      <c r="P1235" s="4">
        <v>136</v>
      </c>
      <c r="Q1235" s="4" t="str">
        <f t="shared" si="65"/>
        <v>青岛市</v>
      </c>
      <c r="R1235" s="4">
        <f t="shared" si="63"/>
        <v>15</v>
      </c>
      <c r="S1235" s="4" t="str">
        <f t="shared" si="64"/>
        <v>山东省</v>
      </c>
    </row>
    <row r="1236" spans="14:19">
      <c r="N1236" s="4">
        <v>1235</v>
      </c>
      <c r="O1236" s="4" t="s">
        <v>2114</v>
      </c>
      <c r="P1236" s="4">
        <v>136</v>
      </c>
      <c r="Q1236" s="4" t="str">
        <f t="shared" si="65"/>
        <v>青岛市</v>
      </c>
      <c r="R1236" s="4">
        <f t="shared" si="63"/>
        <v>15</v>
      </c>
      <c r="S1236" s="4" t="str">
        <f t="shared" si="64"/>
        <v>山东省</v>
      </c>
    </row>
    <row r="1237" spans="14:19">
      <c r="N1237" s="4">
        <v>1236</v>
      </c>
      <c r="O1237" s="4" t="s">
        <v>2115</v>
      </c>
      <c r="P1237" s="4">
        <v>136</v>
      </c>
      <c r="Q1237" s="4" t="str">
        <f t="shared" si="65"/>
        <v>青岛市</v>
      </c>
      <c r="R1237" s="4">
        <f t="shared" si="63"/>
        <v>15</v>
      </c>
      <c r="S1237" s="4" t="str">
        <f t="shared" si="64"/>
        <v>山东省</v>
      </c>
    </row>
    <row r="1238" spans="14:19">
      <c r="N1238" s="4">
        <v>1237</v>
      </c>
      <c r="O1238" s="4" t="s">
        <v>2116</v>
      </c>
      <c r="P1238" s="4">
        <v>136</v>
      </c>
      <c r="Q1238" s="4" t="str">
        <f t="shared" si="65"/>
        <v>青岛市</v>
      </c>
      <c r="R1238" s="4">
        <f t="shared" si="63"/>
        <v>15</v>
      </c>
      <c r="S1238" s="4" t="str">
        <f t="shared" si="64"/>
        <v>山东省</v>
      </c>
    </row>
    <row r="1239" spans="14:19">
      <c r="N1239" s="4">
        <v>1238</v>
      </c>
      <c r="O1239" s="4" t="s">
        <v>2117</v>
      </c>
      <c r="P1239" s="4">
        <v>136</v>
      </c>
      <c r="Q1239" s="4" t="str">
        <f t="shared" si="65"/>
        <v>青岛市</v>
      </c>
      <c r="R1239" s="4">
        <f t="shared" si="63"/>
        <v>15</v>
      </c>
      <c r="S1239" s="4" t="str">
        <f t="shared" si="64"/>
        <v>山东省</v>
      </c>
    </row>
    <row r="1240" spans="14:19">
      <c r="N1240" s="4">
        <v>1239</v>
      </c>
      <c r="O1240" s="4" t="s">
        <v>2118</v>
      </c>
      <c r="P1240" s="4">
        <v>136</v>
      </c>
      <c r="Q1240" s="4" t="str">
        <f t="shared" si="65"/>
        <v>青岛市</v>
      </c>
      <c r="R1240" s="4">
        <f t="shared" si="63"/>
        <v>15</v>
      </c>
      <c r="S1240" s="4" t="str">
        <f t="shared" si="64"/>
        <v>山东省</v>
      </c>
    </row>
    <row r="1241" spans="14:19">
      <c r="N1241" s="4">
        <v>1240</v>
      </c>
      <c r="O1241" s="4" t="s">
        <v>2119</v>
      </c>
      <c r="P1241" s="4">
        <v>136</v>
      </c>
      <c r="Q1241" s="4" t="str">
        <f t="shared" si="65"/>
        <v>青岛市</v>
      </c>
      <c r="R1241" s="4">
        <f t="shared" si="63"/>
        <v>15</v>
      </c>
      <c r="S1241" s="4" t="str">
        <f t="shared" si="64"/>
        <v>山东省</v>
      </c>
    </row>
    <row r="1242" spans="14:19">
      <c r="N1242" s="4">
        <v>1241</v>
      </c>
      <c r="O1242" s="4" t="s">
        <v>2120</v>
      </c>
      <c r="P1242" s="4">
        <v>136</v>
      </c>
      <c r="Q1242" s="4" t="str">
        <f t="shared" si="65"/>
        <v>青岛市</v>
      </c>
      <c r="R1242" s="4">
        <f t="shared" si="63"/>
        <v>15</v>
      </c>
      <c r="S1242" s="4" t="str">
        <f t="shared" si="64"/>
        <v>山东省</v>
      </c>
    </row>
    <row r="1243" spans="14:19">
      <c r="N1243" s="4">
        <v>1242</v>
      </c>
      <c r="O1243" s="4" t="s">
        <v>2121</v>
      </c>
      <c r="P1243" s="4">
        <v>136</v>
      </c>
      <c r="Q1243" s="4" t="str">
        <f t="shared" si="65"/>
        <v>青岛市</v>
      </c>
      <c r="R1243" s="4">
        <f t="shared" si="63"/>
        <v>15</v>
      </c>
      <c r="S1243" s="4" t="str">
        <f t="shared" si="64"/>
        <v>山东省</v>
      </c>
    </row>
    <row r="1244" spans="14:19">
      <c r="N1244" s="4">
        <v>1243</v>
      </c>
      <c r="O1244" s="4" t="s">
        <v>2122</v>
      </c>
      <c r="P1244" s="4">
        <v>136</v>
      </c>
      <c r="Q1244" s="4" t="str">
        <f t="shared" si="65"/>
        <v>青岛市</v>
      </c>
      <c r="R1244" s="4">
        <f t="shared" si="63"/>
        <v>15</v>
      </c>
      <c r="S1244" s="4" t="str">
        <f t="shared" si="64"/>
        <v>山东省</v>
      </c>
    </row>
    <row r="1245" spans="14:19">
      <c r="N1245" s="4">
        <v>1244</v>
      </c>
      <c r="O1245" s="4" t="s">
        <v>2123</v>
      </c>
      <c r="P1245" s="4">
        <v>136</v>
      </c>
      <c r="Q1245" s="4" t="str">
        <f t="shared" si="65"/>
        <v>青岛市</v>
      </c>
      <c r="R1245" s="4">
        <f t="shared" si="63"/>
        <v>15</v>
      </c>
      <c r="S1245" s="4" t="str">
        <f t="shared" si="64"/>
        <v>山东省</v>
      </c>
    </row>
    <row r="1246" spans="14:19">
      <c r="N1246" s="4">
        <v>1245</v>
      </c>
      <c r="O1246" s="4" t="s">
        <v>2124</v>
      </c>
      <c r="P1246" s="4">
        <v>137</v>
      </c>
      <c r="Q1246" s="4" t="str">
        <f t="shared" si="65"/>
        <v>淄博市</v>
      </c>
      <c r="R1246" s="4">
        <f t="shared" si="63"/>
        <v>15</v>
      </c>
      <c r="S1246" s="4" t="str">
        <f t="shared" si="64"/>
        <v>山东省</v>
      </c>
    </row>
    <row r="1247" spans="14:19">
      <c r="N1247" s="4">
        <v>1246</v>
      </c>
      <c r="O1247" s="4" t="s">
        <v>2125</v>
      </c>
      <c r="P1247" s="4">
        <v>137</v>
      </c>
      <c r="Q1247" s="4" t="str">
        <f t="shared" si="65"/>
        <v>淄博市</v>
      </c>
      <c r="R1247" s="4">
        <f t="shared" si="63"/>
        <v>15</v>
      </c>
      <c r="S1247" s="4" t="str">
        <f t="shared" si="64"/>
        <v>山东省</v>
      </c>
    </row>
    <row r="1248" spans="14:19">
      <c r="N1248" s="4">
        <v>1247</v>
      </c>
      <c r="O1248" s="4" t="s">
        <v>2126</v>
      </c>
      <c r="P1248" s="4">
        <v>137</v>
      </c>
      <c r="Q1248" s="4" t="str">
        <f t="shared" si="65"/>
        <v>淄博市</v>
      </c>
      <c r="R1248" s="4">
        <f t="shared" si="63"/>
        <v>15</v>
      </c>
      <c r="S1248" s="4" t="str">
        <f t="shared" si="64"/>
        <v>山东省</v>
      </c>
    </row>
    <row r="1249" spans="14:19">
      <c r="N1249" s="4">
        <v>1248</v>
      </c>
      <c r="O1249" s="4" t="s">
        <v>2127</v>
      </c>
      <c r="P1249" s="4">
        <v>137</v>
      </c>
      <c r="Q1249" s="4" t="str">
        <f t="shared" si="65"/>
        <v>淄博市</v>
      </c>
      <c r="R1249" s="4">
        <f t="shared" si="63"/>
        <v>15</v>
      </c>
      <c r="S1249" s="4" t="str">
        <f t="shared" si="64"/>
        <v>山东省</v>
      </c>
    </row>
    <row r="1250" spans="14:19">
      <c r="N1250" s="4">
        <v>1249</v>
      </c>
      <c r="O1250" s="4" t="s">
        <v>2128</v>
      </c>
      <c r="P1250" s="4">
        <v>137</v>
      </c>
      <c r="Q1250" s="4" t="str">
        <f t="shared" si="65"/>
        <v>淄博市</v>
      </c>
      <c r="R1250" s="4">
        <f t="shared" si="63"/>
        <v>15</v>
      </c>
      <c r="S1250" s="4" t="str">
        <f t="shared" si="64"/>
        <v>山东省</v>
      </c>
    </row>
    <row r="1251" spans="14:19">
      <c r="N1251" s="4">
        <v>1250</v>
      </c>
      <c r="O1251" s="4" t="s">
        <v>2129</v>
      </c>
      <c r="P1251" s="4">
        <v>137</v>
      </c>
      <c r="Q1251" s="4" t="str">
        <f t="shared" si="65"/>
        <v>淄博市</v>
      </c>
      <c r="R1251" s="4">
        <f t="shared" si="63"/>
        <v>15</v>
      </c>
      <c r="S1251" s="4" t="str">
        <f t="shared" si="64"/>
        <v>山东省</v>
      </c>
    </row>
    <row r="1252" spans="14:19">
      <c r="N1252" s="4">
        <v>1251</v>
      </c>
      <c r="O1252" s="4" t="s">
        <v>2130</v>
      </c>
      <c r="P1252" s="4">
        <v>137</v>
      </c>
      <c r="Q1252" s="4" t="str">
        <f t="shared" si="65"/>
        <v>淄博市</v>
      </c>
      <c r="R1252" s="4">
        <f t="shared" si="63"/>
        <v>15</v>
      </c>
      <c r="S1252" s="4" t="str">
        <f t="shared" si="64"/>
        <v>山东省</v>
      </c>
    </row>
    <row r="1253" spans="14:19">
      <c r="N1253" s="4">
        <v>1252</v>
      </c>
      <c r="O1253" s="4" t="s">
        <v>2131</v>
      </c>
      <c r="P1253" s="4">
        <v>137</v>
      </c>
      <c r="Q1253" s="4" t="str">
        <f t="shared" si="65"/>
        <v>淄博市</v>
      </c>
      <c r="R1253" s="4">
        <f t="shared" si="63"/>
        <v>15</v>
      </c>
      <c r="S1253" s="4" t="str">
        <f t="shared" si="64"/>
        <v>山东省</v>
      </c>
    </row>
    <row r="1254" spans="14:19">
      <c r="N1254" s="4">
        <v>1253</v>
      </c>
      <c r="O1254" s="4" t="s">
        <v>2103</v>
      </c>
      <c r="P1254" s="4">
        <v>138</v>
      </c>
      <c r="Q1254" s="4" t="str">
        <f t="shared" si="65"/>
        <v>枣庄市</v>
      </c>
      <c r="R1254" s="4">
        <f t="shared" si="63"/>
        <v>15</v>
      </c>
      <c r="S1254" s="4" t="str">
        <f t="shared" si="64"/>
        <v>山东省</v>
      </c>
    </row>
    <row r="1255" spans="14:19">
      <c r="N1255" s="4">
        <v>1254</v>
      </c>
      <c r="O1255" s="4" t="s">
        <v>2132</v>
      </c>
      <c r="P1255" s="4">
        <v>138</v>
      </c>
      <c r="Q1255" s="4" t="str">
        <f t="shared" si="65"/>
        <v>枣庄市</v>
      </c>
      <c r="R1255" s="4">
        <f t="shared" si="63"/>
        <v>15</v>
      </c>
      <c r="S1255" s="4" t="str">
        <f t="shared" si="64"/>
        <v>山东省</v>
      </c>
    </row>
    <row r="1256" spans="14:19">
      <c r="N1256" s="4">
        <v>1255</v>
      </c>
      <c r="O1256" s="4" t="s">
        <v>2133</v>
      </c>
      <c r="P1256" s="4">
        <v>138</v>
      </c>
      <c r="Q1256" s="4" t="str">
        <f t="shared" si="65"/>
        <v>枣庄市</v>
      </c>
      <c r="R1256" s="4">
        <f t="shared" si="63"/>
        <v>15</v>
      </c>
      <c r="S1256" s="4" t="str">
        <f t="shared" si="64"/>
        <v>山东省</v>
      </c>
    </row>
    <row r="1257" spans="14:19">
      <c r="N1257" s="4">
        <v>1256</v>
      </c>
      <c r="O1257" s="4" t="s">
        <v>2134</v>
      </c>
      <c r="P1257" s="4">
        <v>138</v>
      </c>
      <c r="Q1257" s="4" t="str">
        <f t="shared" si="65"/>
        <v>枣庄市</v>
      </c>
      <c r="R1257" s="4">
        <f t="shared" si="63"/>
        <v>15</v>
      </c>
      <c r="S1257" s="4" t="str">
        <f t="shared" si="64"/>
        <v>山东省</v>
      </c>
    </row>
    <row r="1258" spans="14:19">
      <c r="N1258" s="4">
        <v>1257</v>
      </c>
      <c r="O1258" s="4" t="s">
        <v>2135</v>
      </c>
      <c r="P1258" s="4">
        <v>138</v>
      </c>
      <c r="Q1258" s="4" t="str">
        <f t="shared" si="65"/>
        <v>枣庄市</v>
      </c>
      <c r="R1258" s="4">
        <f t="shared" si="63"/>
        <v>15</v>
      </c>
      <c r="S1258" s="4" t="str">
        <f t="shared" si="64"/>
        <v>山东省</v>
      </c>
    </row>
    <row r="1259" spans="14:19">
      <c r="N1259" s="4">
        <v>1258</v>
      </c>
      <c r="O1259" s="4" t="s">
        <v>2136</v>
      </c>
      <c r="P1259" s="4">
        <v>138</v>
      </c>
      <c r="Q1259" s="4" t="str">
        <f t="shared" si="65"/>
        <v>枣庄市</v>
      </c>
      <c r="R1259" s="4">
        <f t="shared" si="63"/>
        <v>15</v>
      </c>
      <c r="S1259" s="4" t="str">
        <f t="shared" si="64"/>
        <v>山东省</v>
      </c>
    </row>
    <row r="1260" spans="14:19">
      <c r="N1260" s="4">
        <v>1259</v>
      </c>
      <c r="O1260" s="4" t="s">
        <v>2137</v>
      </c>
      <c r="P1260" s="4">
        <v>139</v>
      </c>
      <c r="Q1260" s="4" t="str">
        <f t="shared" si="65"/>
        <v>东营市</v>
      </c>
      <c r="R1260" s="4">
        <f t="shared" si="63"/>
        <v>15</v>
      </c>
      <c r="S1260" s="4" t="str">
        <f t="shared" si="64"/>
        <v>山东省</v>
      </c>
    </row>
    <row r="1261" spans="14:19">
      <c r="N1261" s="4">
        <v>1260</v>
      </c>
      <c r="O1261" s="4" t="s">
        <v>2138</v>
      </c>
      <c r="P1261" s="4">
        <v>139</v>
      </c>
      <c r="Q1261" s="4" t="str">
        <f t="shared" si="65"/>
        <v>东营市</v>
      </c>
      <c r="R1261" s="4">
        <f t="shared" si="63"/>
        <v>15</v>
      </c>
      <c r="S1261" s="4" t="str">
        <f t="shared" si="64"/>
        <v>山东省</v>
      </c>
    </row>
    <row r="1262" spans="14:19">
      <c r="N1262" s="4">
        <v>1261</v>
      </c>
      <c r="O1262" s="4" t="s">
        <v>2139</v>
      </c>
      <c r="P1262" s="4">
        <v>139</v>
      </c>
      <c r="Q1262" s="4" t="str">
        <f t="shared" si="65"/>
        <v>东营市</v>
      </c>
      <c r="R1262" s="4">
        <f t="shared" si="63"/>
        <v>15</v>
      </c>
      <c r="S1262" s="4" t="str">
        <f t="shared" si="64"/>
        <v>山东省</v>
      </c>
    </row>
    <row r="1263" spans="14:19">
      <c r="N1263" s="4">
        <v>1262</v>
      </c>
      <c r="O1263" s="4" t="s">
        <v>2140</v>
      </c>
      <c r="P1263" s="4">
        <v>139</v>
      </c>
      <c r="Q1263" s="4" t="str">
        <f t="shared" si="65"/>
        <v>东营市</v>
      </c>
      <c r="R1263" s="4">
        <f t="shared" si="63"/>
        <v>15</v>
      </c>
      <c r="S1263" s="4" t="str">
        <f t="shared" si="64"/>
        <v>山东省</v>
      </c>
    </row>
    <row r="1264" spans="14:19">
      <c r="N1264" s="4">
        <v>1263</v>
      </c>
      <c r="O1264" s="4" t="s">
        <v>2141</v>
      </c>
      <c r="P1264" s="4">
        <v>139</v>
      </c>
      <c r="Q1264" s="4" t="str">
        <f t="shared" si="65"/>
        <v>东营市</v>
      </c>
      <c r="R1264" s="4">
        <f t="shared" si="63"/>
        <v>15</v>
      </c>
      <c r="S1264" s="4" t="str">
        <f t="shared" si="64"/>
        <v>山东省</v>
      </c>
    </row>
    <row r="1265" spans="14:19">
      <c r="N1265" s="4">
        <v>1264</v>
      </c>
      <c r="O1265" s="4" t="s">
        <v>2142</v>
      </c>
      <c r="P1265" s="4">
        <v>140</v>
      </c>
      <c r="Q1265" s="4" t="str">
        <f t="shared" si="65"/>
        <v>烟台市</v>
      </c>
      <c r="R1265" s="4">
        <f t="shared" si="63"/>
        <v>15</v>
      </c>
      <c r="S1265" s="4" t="str">
        <f t="shared" si="64"/>
        <v>山东省</v>
      </c>
    </row>
    <row r="1266" spans="14:19">
      <c r="N1266" s="4">
        <v>1265</v>
      </c>
      <c r="O1266" s="4" t="s">
        <v>2143</v>
      </c>
      <c r="P1266" s="4">
        <v>140</v>
      </c>
      <c r="Q1266" s="4" t="str">
        <f t="shared" si="65"/>
        <v>烟台市</v>
      </c>
      <c r="R1266" s="4">
        <f t="shared" si="63"/>
        <v>15</v>
      </c>
      <c r="S1266" s="4" t="str">
        <f t="shared" si="64"/>
        <v>山东省</v>
      </c>
    </row>
    <row r="1267" spans="14:19">
      <c r="N1267" s="4">
        <v>1266</v>
      </c>
      <c r="O1267" s="4" t="s">
        <v>2144</v>
      </c>
      <c r="P1267" s="4">
        <v>140</v>
      </c>
      <c r="Q1267" s="4" t="str">
        <f t="shared" si="65"/>
        <v>烟台市</v>
      </c>
      <c r="R1267" s="4">
        <f t="shared" si="63"/>
        <v>15</v>
      </c>
      <c r="S1267" s="4" t="str">
        <f t="shared" si="64"/>
        <v>山东省</v>
      </c>
    </row>
    <row r="1268" spans="14:19">
      <c r="N1268" s="4">
        <v>1267</v>
      </c>
      <c r="O1268" s="4" t="s">
        <v>2145</v>
      </c>
      <c r="P1268" s="4">
        <v>140</v>
      </c>
      <c r="Q1268" s="4" t="str">
        <f t="shared" si="65"/>
        <v>烟台市</v>
      </c>
      <c r="R1268" s="4">
        <f t="shared" si="63"/>
        <v>15</v>
      </c>
      <c r="S1268" s="4" t="str">
        <f t="shared" si="64"/>
        <v>山东省</v>
      </c>
    </row>
    <row r="1269" spans="14:19">
      <c r="N1269" s="4">
        <v>1268</v>
      </c>
      <c r="O1269" s="4" t="s">
        <v>2146</v>
      </c>
      <c r="P1269" s="4">
        <v>140</v>
      </c>
      <c r="Q1269" s="4" t="str">
        <f t="shared" si="65"/>
        <v>烟台市</v>
      </c>
      <c r="R1269" s="4">
        <f t="shared" si="63"/>
        <v>15</v>
      </c>
      <c r="S1269" s="4" t="str">
        <f t="shared" si="64"/>
        <v>山东省</v>
      </c>
    </row>
    <row r="1270" spans="14:19">
      <c r="N1270" s="4">
        <v>1269</v>
      </c>
      <c r="O1270" s="4" t="s">
        <v>2147</v>
      </c>
      <c r="P1270" s="4">
        <v>140</v>
      </c>
      <c r="Q1270" s="4" t="str">
        <f t="shared" si="65"/>
        <v>烟台市</v>
      </c>
      <c r="R1270" s="4">
        <f t="shared" si="63"/>
        <v>15</v>
      </c>
      <c r="S1270" s="4" t="str">
        <f t="shared" si="64"/>
        <v>山东省</v>
      </c>
    </row>
    <row r="1271" spans="14:19">
      <c r="N1271" s="4">
        <v>1270</v>
      </c>
      <c r="O1271" s="4" t="s">
        <v>2148</v>
      </c>
      <c r="P1271" s="4">
        <v>140</v>
      </c>
      <c r="Q1271" s="4" t="str">
        <f t="shared" si="65"/>
        <v>烟台市</v>
      </c>
      <c r="R1271" s="4">
        <f t="shared" si="63"/>
        <v>15</v>
      </c>
      <c r="S1271" s="4" t="str">
        <f t="shared" si="64"/>
        <v>山东省</v>
      </c>
    </row>
    <row r="1272" spans="14:19">
      <c r="N1272" s="4">
        <v>1271</v>
      </c>
      <c r="O1272" s="4" t="s">
        <v>2149</v>
      </c>
      <c r="P1272" s="4">
        <v>140</v>
      </c>
      <c r="Q1272" s="4" t="str">
        <f t="shared" si="65"/>
        <v>烟台市</v>
      </c>
      <c r="R1272" s="4">
        <f t="shared" si="63"/>
        <v>15</v>
      </c>
      <c r="S1272" s="4" t="str">
        <f t="shared" si="64"/>
        <v>山东省</v>
      </c>
    </row>
    <row r="1273" spans="14:19">
      <c r="N1273" s="4">
        <v>1272</v>
      </c>
      <c r="O1273" s="4" t="s">
        <v>2150</v>
      </c>
      <c r="P1273" s="4">
        <v>140</v>
      </c>
      <c r="Q1273" s="4" t="str">
        <f t="shared" si="65"/>
        <v>烟台市</v>
      </c>
      <c r="R1273" s="4">
        <f t="shared" si="63"/>
        <v>15</v>
      </c>
      <c r="S1273" s="4" t="str">
        <f t="shared" si="64"/>
        <v>山东省</v>
      </c>
    </row>
    <row r="1274" spans="14:19">
      <c r="N1274" s="4">
        <v>1273</v>
      </c>
      <c r="O1274" s="4" t="s">
        <v>2151</v>
      </c>
      <c r="P1274" s="4">
        <v>140</v>
      </c>
      <c r="Q1274" s="4" t="str">
        <f t="shared" si="65"/>
        <v>烟台市</v>
      </c>
      <c r="R1274" s="4">
        <f t="shared" si="63"/>
        <v>15</v>
      </c>
      <c r="S1274" s="4" t="str">
        <f t="shared" si="64"/>
        <v>山东省</v>
      </c>
    </row>
    <row r="1275" spans="14:19">
      <c r="N1275" s="4">
        <v>1274</v>
      </c>
      <c r="O1275" s="4" t="s">
        <v>2152</v>
      </c>
      <c r="P1275" s="4">
        <v>140</v>
      </c>
      <c r="Q1275" s="4" t="str">
        <f t="shared" si="65"/>
        <v>烟台市</v>
      </c>
      <c r="R1275" s="4">
        <f t="shared" si="63"/>
        <v>15</v>
      </c>
      <c r="S1275" s="4" t="str">
        <f t="shared" si="64"/>
        <v>山东省</v>
      </c>
    </row>
    <row r="1276" spans="14:19">
      <c r="N1276" s="4">
        <v>1275</v>
      </c>
      <c r="O1276" s="4" t="s">
        <v>2153</v>
      </c>
      <c r="P1276" s="4">
        <v>140</v>
      </c>
      <c r="Q1276" s="4" t="str">
        <f t="shared" si="65"/>
        <v>烟台市</v>
      </c>
      <c r="R1276" s="4">
        <f t="shared" si="63"/>
        <v>15</v>
      </c>
      <c r="S1276" s="4" t="str">
        <f t="shared" si="64"/>
        <v>山东省</v>
      </c>
    </row>
    <row r="1277" spans="14:19">
      <c r="N1277" s="4">
        <v>1276</v>
      </c>
      <c r="O1277" s="4" t="s">
        <v>2154</v>
      </c>
      <c r="P1277" s="4">
        <v>141</v>
      </c>
      <c r="Q1277" s="4" t="str">
        <f t="shared" si="65"/>
        <v>潍坊市</v>
      </c>
      <c r="R1277" s="4">
        <f t="shared" si="63"/>
        <v>15</v>
      </c>
      <c r="S1277" s="4" t="str">
        <f t="shared" si="64"/>
        <v>山东省</v>
      </c>
    </row>
    <row r="1278" spans="14:19">
      <c r="N1278" s="4">
        <v>1277</v>
      </c>
      <c r="O1278" s="4" t="s">
        <v>2155</v>
      </c>
      <c r="P1278" s="4">
        <v>141</v>
      </c>
      <c r="Q1278" s="4" t="str">
        <f t="shared" si="65"/>
        <v>潍坊市</v>
      </c>
      <c r="R1278" s="4">
        <f t="shared" si="63"/>
        <v>15</v>
      </c>
      <c r="S1278" s="4" t="str">
        <f t="shared" si="64"/>
        <v>山东省</v>
      </c>
    </row>
    <row r="1279" spans="14:19">
      <c r="N1279" s="4">
        <v>1278</v>
      </c>
      <c r="O1279" s="4" t="s">
        <v>2156</v>
      </c>
      <c r="P1279" s="4">
        <v>141</v>
      </c>
      <c r="Q1279" s="4" t="str">
        <f t="shared" si="65"/>
        <v>潍坊市</v>
      </c>
      <c r="R1279" s="4">
        <f t="shared" si="63"/>
        <v>15</v>
      </c>
      <c r="S1279" s="4" t="str">
        <f t="shared" si="64"/>
        <v>山东省</v>
      </c>
    </row>
    <row r="1280" spans="14:19">
      <c r="N1280" s="4">
        <v>1279</v>
      </c>
      <c r="O1280" s="4" t="s">
        <v>2157</v>
      </c>
      <c r="P1280" s="4">
        <v>141</v>
      </c>
      <c r="Q1280" s="4" t="str">
        <f t="shared" si="65"/>
        <v>潍坊市</v>
      </c>
      <c r="R1280" s="4">
        <f t="shared" si="63"/>
        <v>15</v>
      </c>
      <c r="S1280" s="4" t="str">
        <f t="shared" si="64"/>
        <v>山东省</v>
      </c>
    </row>
    <row r="1281" spans="14:19">
      <c r="N1281" s="4">
        <v>1280</v>
      </c>
      <c r="O1281" s="4" t="s">
        <v>2158</v>
      </c>
      <c r="P1281" s="4">
        <v>141</v>
      </c>
      <c r="Q1281" s="4" t="str">
        <f t="shared" si="65"/>
        <v>潍坊市</v>
      </c>
      <c r="R1281" s="4">
        <f t="shared" si="63"/>
        <v>15</v>
      </c>
      <c r="S1281" s="4" t="str">
        <f t="shared" si="64"/>
        <v>山东省</v>
      </c>
    </row>
    <row r="1282" spans="14:19">
      <c r="N1282" s="4">
        <v>1281</v>
      </c>
      <c r="O1282" s="4" t="s">
        <v>2159</v>
      </c>
      <c r="P1282" s="4">
        <v>141</v>
      </c>
      <c r="Q1282" s="4" t="str">
        <f t="shared" si="65"/>
        <v>潍坊市</v>
      </c>
      <c r="R1282" s="4">
        <f t="shared" ref="R1282:R1345" si="66">VLOOKUP(P1282,$I$2:$M$346,3,FALSE)</f>
        <v>15</v>
      </c>
      <c r="S1282" s="4" t="str">
        <f t="shared" ref="S1282:S1345" si="67">VLOOKUP(P1282,$I$2:$M$346,4,FALSE)</f>
        <v>山东省</v>
      </c>
    </row>
    <row r="1283" spans="14:19">
      <c r="N1283" s="4">
        <v>1282</v>
      </c>
      <c r="O1283" s="4" t="s">
        <v>2160</v>
      </c>
      <c r="P1283" s="4">
        <v>141</v>
      </c>
      <c r="Q1283" s="4" t="str">
        <f t="shared" ref="Q1283:Q1346" si="68">VLOOKUP(P1283,$I$2:$J$346,2,FALSE)</f>
        <v>潍坊市</v>
      </c>
      <c r="R1283" s="4">
        <f t="shared" si="66"/>
        <v>15</v>
      </c>
      <c r="S1283" s="4" t="str">
        <f t="shared" si="67"/>
        <v>山东省</v>
      </c>
    </row>
    <row r="1284" spans="14:19">
      <c r="N1284" s="4">
        <v>1283</v>
      </c>
      <c r="O1284" s="4" t="s">
        <v>2161</v>
      </c>
      <c r="P1284" s="4">
        <v>141</v>
      </c>
      <c r="Q1284" s="4" t="str">
        <f t="shared" si="68"/>
        <v>潍坊市</v>
      </c>
      <c r="R1284" s="4">
        <f t="shared" si="66"/>
        <v>15</v>
      </c>
      <c r="S1284" s="4" t="str">
        <f t="shared" si="67"/>
        <v>山东省</v>
      </c>
    </row>
    <row r="1285" spans="14:19">
      <c r="N1285" s="4">
        <v>1284</v>
      </c>
      <c r="O1285" s="4" t="s">
        <v>2162</v>
      </c>
      <c r="P1285" s="4">
        <v>141</v>
      </c>
      <c r="Q1285" s="4" t="str">
        <f t="shared" si="68"/>
        <v>潍坊市</v>
      </c>
      <c r="R1285" s="4">
        <f t="shared" si="66"/>
        <v>15</v>
      </c>
      <c r="S1285" s="4" t="str">
        <f t="shared" si="67"/>
        <v>山东省</v>
      </c>
    </row>
    <row r="1286" spans="14:19">
      <c r="N1286" s="4">
        <v>1285</v>
      </c>
      <c r="O1286" s="4" t="s">
        <v>2163</v>
      </c>
      <c r="P1286" s="4">
        <v>141</v>
      </c>
      <c r="Q1286" s="4" t="str">
        <f t="shared" si="68"/>
        <v>潍坊市</v>
      </c>
      <c r="R1286" s="4">
        <f t="shared" si="66"/>
        <v>15</v>
      </c>
      <c r="S1286" s="4" t="str">
        <f t="shared" si="67"/>
        <v>山东省</v>
      </c>
    </row>
    <row r="1287" spans="14:19">
      <c r="N1287" s="4">
        <v>1286</v>
      </c>
      <c r="O1287" s="4" t="s">
        <v>2164</v>
      </c>
      <c r="P1287" s="4">
        <v>141</v>
      </c>
      <c r="Q1287" s="4" t="str">
        <f t="shared" si="68"/>
        <v>潍坊市</v>
      </c>
      <c r="R1287" s="4">
        <f t="shared" si="66"/>
        <v>15</v>
      </c>
      <c r="S1287" s="4" t="str">
        <f t="shared" si="67"/>
        <v>山东省</v>
      </c>
    </row>
    <row r="1288" spans="14:19">
      <c r="N1288" s="4">
        <v>1287</v>
      </c>
      <c r="O1288" s="4" t="s">
        <v>2165</v>
      </c>
      <c r="P1288" s="4">
        <v>141</v>
      </c>
      <c r="Q1288" s="4" t="str">
        <f t="shared" si="68"/>
        <v>潍坊市</v>
      </c>
      <c r="R1288" s="4">
        <f t="shared" si="66"/>
        <v>15</v>
      </c>
      <c r="S1288" s="4" t="str">
        <f t="shared" si="67"/>
        <v>山东省</v>
      </c>
    </row>
    <row r="1289" spans="14:19">
      <c r="N1289" s="4">
        <v>1288</v>
      </c>
      <c r="O1289" s="4" t="s">
        <v>2103</v>
      </c>
      <c r="P1289" s="4">
        <v>142</v>
      </c>
      <c r="Q1289" s="4" t="str">
        <f t="shared" si="68"/>
        <v>济宁市</v>
      </c>
      <c r="R1289" s="4">
        <f t="shared" si="66"/>
        <v>15</v>
      </c>
      <c r="S1289" s="4" t="str">
        <f t="shared" si="67"/>
        <v>山东省</v>
      </c>
    </row>
    <row r="1290" spans="14:19">
      <c r="N1290" s="4">
        <v>1289</v>
      </c>
      <c r="O1290" s="4" t="s">
        <v>2166</v>
      </c>
      <c r="P1290" s="4">
        <v>142</v>
      </c>
      <c r="Q1290" s="4" t="str">
        <f t="shared" si="68"/>
        <v>济宁市</v>
      </c>
      <c r="R1290" s="4">
        <f t="shared" si="66"/>
        <v>15</v>
      </c>
      <c r="S1290" s="4" t="str">
        <f t="shared" si="67"/>
        <v>山东省</v>
      </c>
    </row>
    <row r="1291" spans="14:19">
      <c r="N1291" s="4">
        <v>1290</v>
      </c>
      <c r="O1291" s="4" t="s">
        <v>2167</v>
      </c>
      <c r="P1291" s="4">
        <v>142</v>
      </c>
      <c r="Q1291" s="4" t="str">
        <f t="shared" si="68"/>
        <v>济宁市</v>
      </c>
      <c r="R1291" s="4">
        <f t="shared" si="66"/>
        <v>15</v>
      </c>
      <c r="S1291" s="4" t="str">
        <f t="shared" si="67"/>
        <v>山东省</v>
      </c>
    </row>
    <row r="1292" spans="14:19">
      <c r="N1292" s="4">
        <v>1291</v>
      </c>
      <c r="O1292" s="4" t="s">
        <v>2168</v>
      </c>
      <c r="P1292" s="4">
        <v>142</v>
      </c>
      <c r="Q1292" s="4" t="str">
        <f t="shared" si="68"/>
        <v>济宁市</v>
      </c>
      <c r="R1292" s="4">
        <f t="shared" si="66"/>
        <v>15</v>
      </c>
      <c r="S1292" s="4" t="str">
        <f t="shared" si="67"/>
        <v>山东省</v>
      </c>
    </row>
    <row r="1293" spans="14:19">
      <c r="N1293" s="4">
        <v>1292</v>
      </c>
      <c r="O1293" s="4" t="s">
        <v>2169</v>
      </c>
      <c r="P1293" s="4">
        <v>142</v>
      </c>
      <c r="Q1293" s="4" t="str">
        <f t="shared" si="68"/>
        <v>济宁市</v>
      </c>
      <c r="R1293" s="4">
        <f t="shared" si="66"/>
        <v>15</v>
      </c>
      <c r="S1293" s="4" t="str">
        <f t="shared" si="67"/>
        <v>山东省</v>
      </c>
    </row>
    <row r="1294" spans="14:19">
      <c r="N1294" s="4">
        <v>1293</v>
      </c>
      <c r="O1294" s="4" t="s">
        <v>2170</v>
      </c>
      <c r="P1294" s="4">
        <v>142</v>
      </c>
      <c r="Q1294" s="4" t="str">
        <f t="shared" si="68"/>
        <v>济宁市</v>
      </c>
      <c r="R1294" s="4">
        <f t="shared" si="66"/>
        <v>15</v>
      </c>
      <c r="S1294" s="4" t="str">
        <f t="shared" si="67"/>
        <v>山东省</v>
      </c>
    </row>
    <row r="1295" spans="14:19">
      <c r="N1295" s="4">
        <v>1294</v>
      </c>
      <c r="O1295" s="4" t="s">
        <v>2171</v>
      </c>
      <c r="P1295" s="4">
        <v>142</v>
      </c>
      <c r="Q1295" s="4" t="str">
        <f t="shared" si="68"/>
        <v>济宁市</v>
      </c>
      <c r="R1295" s="4">
        <f t="shared" si="66"/>
        <v>15</v>
      </c>
      <c r="S1295" s="4" t="str">
        <f t="shared" si="67"/>
        <v>山东省</v>
      </c>
    </row>
    <row r="1296" spans="14:19">
      <c r="N1296" s="4">
        <v>1295</v>
      </c>
      <c r="O1296" s="4" t="s">
        <v>2172</v>
      </c>
      <c r="P1296" s="4">
        <v>142</v>
      </c>
      <c r="Q1296" s="4" t="str">
        <f t="shared" si="68"/>
        <v>济宁市</v>
      </c>
      <c r="R1296" s="4">
        <f t="shared" si="66"/>
        <v>15</v>
      </c>
      <c r="S1296" s="4" t="str">
        <f t="shared" si="67"/>
        <v>山东省</v>
      </c>
    </row>
    <row r="1297" spans="14:19">
      <c r="N1297" s="4">
        <v>1296</v>
      </c>
      <c r="O1297" s="4" t="s">
        <v>2173</v>
      </c>
      <c r="P1297" s="4">
        <v>142</v>
      </c>
      <c r="Q1297" s="4" t="str">
        <f t="shared" si="68"/>
        <v>济宁市</v>
      </c>
      <c r="R1297" s="4">
        <f t="shared" si="66"/>
        <v>15</v>
      </c>
      <c r="S1297" s="4" t="str">
        <f t="shared" si="67"/>
        <v>山东省</v>
      </c>
    </row>
    <row r="1298" spans="14:19">
      <c r="N1298" s="4">
        <v>1297</v>
      </c>
      <c r="O1298" s="4" t="s">
        <v>2174</v>
      </c>
      <c r="P1298" s="4">
        <v>142</v>
      </c>
      <c r="Q1298" s="4" t="str">
        <f t="shared" si="68"/>
        <v>济宁市</v>
      </c>
      <c r="R1298" s="4">
        <f t="shared" si="66"/>
        <v>15</v>
      </c>
      <c r="S1298" s="4" t="str">
        <f t="shared" si="67"/>
        <v>山东省</v>
      </c>
    </row>
    <row r="1299" spans="14:19">
      <c r="N1299" s="4">
        <v>1298</v>
      </c>
      <c r="O1299" s="4" t="s">
        <v>2175</v>
      </c>
      <c r="P1299" s="4">
        <v>142</v>
      </c>
      <c r="Q1299" s="4" t="str">
        <f t="shared" si="68"/>
        <v>济宁市</v>
      </c>
      <c r="R1299" s="4">
        <f t="shared" si="66"/>
        <v>15</v>
      </c>
      <c r="S1299" s="4" t="str">
        <f t="shared" si="67"/>
        <v>山东省</v>
      </c>
    </row>
    <row r="1300" spans="14:19">
      <c r="N1300" s="4">
        <v>1299</v>
      </c>
      <c r="O1300" s="4" t="s">
        <v>2176</v>
      </c>
      <c r="P1300" s="4">
        <v>142</v>
      </c>
      <c r="Q1300" s="4" t="str">
        <f t="shared" si="68"/>
        <v>济宁市</v>
      </c>
      <c r="R1300" s="4">
        <f t="shared" si="66"/>
        <v>15</v>
      </c>
      <c r="S1300" s="4" t="str">
        <f t="shared" si="67"/>
        <v>山东省</v>
      </c>
    </row>
    <row r="1301" spans="14:19">
      <c r="N1301" s="4">
        <v>1300</v>
      </c>
      <c r="O1301" s="4" t="s">
        <v>2177</v>
      </c>
      <c r="P1301" s="4">
        <v>143</v>
      </c>
      <c r="Q1301" s="4" t="str">
        <f t="shared" si="68"/>
        <v>泰安市</v>
      </c>
      <c r="R1301" s="4">
        <f t="shared" si="66"/>
        <v>15</v>
      </c>
      <c r="S1301" s="4" t="str">
        <f t="shared" si="67"/>
        <v>山东省</v>
      </c>
    </row>
    <row r="1302" spans="14:19">
      <c r="N1302" s="4">
        <v>1301</v>
      </c>
      <c r="O1302" s="4" t="s">
        <v>2178</v>
      </c>
      <c r="P1302" s="4">
        <v>143</v>
      </c>
      <c r="Q1302" s="4" t="str">
        <f t="shared" si="68"/>
        <v>泰安市</v>
      </c>
      <c r="R1302" s="4">
        <f t="shared" si="66"/>
        <v>15</v>
      </c>
      <c r="S1302" s="4" t="str">
        <f t="shared" si="67"/>
        <v>山东省</v>
      </c>
    </row>
    <row r="1303" spans="14:19">
      <c r="N1303" s="4">
        <v>1302</v>
      </c>
      <c r="O1303" s="4" t="s">
        <v>2179</v>
      </c>
      <c r="P1303" s="4">
        <v>143</v>
      </c>
      <c r="Q1303" s="4" t="str">
        <f t="shared" si="68"/>
        <v>泰安市</v>
      </c>
      <c r="R1303" s="4">
        <f t="shared" si="66"/>
        <v>15</v>
      </c>
      <c r="S1303" s="4" t="str">
        <f t="shared" si="67"/>
        <v>山东省</v>
      </c>
    </row>
    <row r="1304" spans="14:19">
      <c r="N1304" s="4">
        <v>1303</v>
      </c>
      <c r="O1304" s="4" t="s">
        <v>2180</v>
      </c>
      <c r="P1304" s="4">
        <v>143</v>
      </c>
      <c r="Q1304" s="4" t="str">
        <f t="shared" si="68"/>
        <v>泰安市</v>
      </c>
      <c r="R1304" s="4">
        <f t="shared" si="66"/>
        <v>15</v>
      </c>
      <c r="S1304" s="4" t="str">
        <f t="shared" si="67"/>
        <v>山东省</v>
      </c>
    </row>
    <row r="1305" spans="14:19">
      <c r="N1305" s="4">
        <v>1304</v>
      </c>
      <c r="O1305" s="4" t="s">
        <v>2181</v>
      </c>
      <c r="P1305" s="4">
        <v>143</v>
      </c>
      <c r="Q1305" s="4" t="str">
        <f t="shared" si="68"/>
        <v>泰安市</v>
      </c>
      <c r="R1305" s="4">
        <f t="shared" si="66"/>
        <v>15</v>
      </c>
      <c r="S1305" s="4" t="str">
        <f t="shared" si="67"/>
        <v>山东省</v>
      </c>
    </row>
    <row r="1306" spans="14:19">
      <c r="N1306" s="4">
        <v>1305</v>
      </c>
      <c r="O1306" s="4" t="s">
        <v>2182</v>
      </c>
      <c r="P1306" s="4">
        <v>143</v>
      </c>
      <c r="Q1306" s="4" t="str">
        <f t="shared" si="68"/>
        <v>泰安市</v>
      </c>
      <c r="R1306" s="4">
        <f t="shared" si="66"/>
        <v>15</v>
      </c>
      <c r="S1306" s="4" t="str">
        <f t="shared" si="67"/>
        <v>山东省</v>
      </c>
    </row>
    <row r="1307" spans="14:19">
      <c r="N1307" s="4">
        <v>1306</v>
      </c>
      <c r="O1307" s="4" t="s">
        <v>2183</v>
      </c>
      <c r="P1307" s="4">
        <v>144</v>
      </c>
      <c r="Q1307" s="4" t="str">
        <f t="shared" si="68"/>
        <v>威海市</v>
      </c>
      <c r="R1307" s="4">
        <f t="shared" si="66"/>
        <v>15</v>
      </c>
      <c r="S1307" s="4" t="str">
        <f t="shared" si="67"/>
        <v>山东省</v>
      </c>
    </row>
    <row r="1308" spans="14:19">
      <c r="N1308" s="4">
        <v>1307</v>
      </c>
      <c r="O1308" s="4" t="s">
        <v>2184</v>
      </c>
      <c r="P1308" s="4">
        <v>144</v>
      </c>
      <c r="Q1308" s="4" t="str">
        <f t="shared" si="68"/>
        <v>威海市</v>
      </c>
      <c r="R1308" s="4">
        <f t="shared" si="66"/>
        <v>15</v>
      </c>
      <c r="S1308" s="4" t="str">
        <f t="shared" si="67"/>
        <v>山东省</v>
      </c>
    </row>
    <row r="1309" spans="14:19">
      <c r="N1309" s="4">
        <v>1308</v>
      </c>
      <c r="O1309" s="4" t="s">
        <v>2185</v>
      </c>
      <c r="P1309" s="4">
        <v>144</v>
      </c>
      <c r="Q1309" s="4" t="str">
        <f t="shared" si="68"/>
        <v>威海市</v>
      </c>
      <c r="R1309" s="4">
        <f t="shared" si="66"/>
        <v>15</v>
      </c>
      <c r="S1309" s="4" t="str">
        <f t="shared" si="67"/>
        <v>山东省</v>
      </c>
    </row>
    <row r="1310" spans="14:19">
      <c r="N1310" s="4">
        <v>1309</v>
      </c>
      <c r="O1310" s="4" t="s">
        <v>2186</v>
      </c>
      <c r="P1310" s="4">
        <v>144</v>
      </c>
      <c r="Q1310" s="4" t="str">
        <f t="shared" si="68"/>
        <v>威海市</v>
      </c>
      <c r="R1310" s="4">
        <f t="shared" si="66"/>
        <v>15</v>
      </c>
      <c r="S1310" s="4" t="str">
        <f t="shared" si="67"/>
        <v>山东省</v>
      </c>
    </row>
    <row r="1311" spans="14:19">
      <c r="N1311" s="4">
        <v>1310</v>
      </c>
      <c r="O1311" s="4" t="s">
        <v>2187</v>
      </c>
      <c r="P1311" s="4">
        <v>145</v>
      </c>
      <c r="Q1311" s="4" t="str">
        <f t="shared" si="68"/>
        <v>日照市</v>
      </c>
      <c r="R1311" s="4">
        <f t="shared" si="66"/>
        <v>15</v>
      </c>
      <c r="S1311" s="4" t="str">
        <f t="shared" si="67"/>
        <v>山东省</v>
      </c>
    </row>
    <row r="1312" spans="14:19">
      <c r="N1312" s="4">
        <v>1311</v>
      </c>
      <c r="O1312" s="4" t="s">
        <v>2188</v>
      </c>
      <c r="P1312" s="4">
        <v>145</v>
      </c>
      <c r="Q1312" s="4" t="str">
        <f t="shared" si="68"/>
        <v>日照市</v>
      </c>
      <c r="R1312" s="4">
        <f t="shared" si="66"/>
        <v>15</v>
      </c>
      <c r="S1312" s="4" t="str">
        <f t="shared" si="67"/>
        <v>山东省</v>
      </c>
    </row>
    <row r="1313" spans="14:19">
      <c r="N1313" s="4">
        <v>1312</v>
      </c>
      <c r="O1313" s="4" t="s">
        <v>2189</v>
      </c>
      <c r="P1313" s="4">
        <v>145</v>
      </c>
      <c r="Q1313" s="4" t="str">
        <f t="shared" si="68"/>
        <v>日照市</v>
      </c>
      <c r="R1313" s="4">
        <f t="shared" si="66"/>
        <v>15</v>
      </c>
      <c r="S1313" s="4" t="str">
        <f t="shared" si="67"/>
        <v>山东省</v>
      </c>
    </row>
    <row r="1314" spans="14:19">
      <c r="N1314" s="4">
        <v>1313</v>
      </c>
      <c r="O1314" s="4" t="s">
        <v>2190</v>
      </c>
      <c r="P1314" s="4">
        <v>145</v>
      </c>
      <c r="Q1314" s="4" t="str">
        <f t="shared" si="68"/>
        <v>日照市</v>
      </c>
      <c r="R1314" s="4">
        <f t="shared" si="66"/>
        <v>15</v>
      </c>
      <c r="S1314" s="4" t="str">
        <f t="shared" si="67"/>
        <v>山东省</v>
      </c>
    </row>
    <row r="1315" spans="14:19">
      <c r="N1315" s="4">
        <v>1314</v>
      </c>
      <c r="O1315" s="4" t="s">
        <v>2191</v>
      </c>
      <c r="P1315" s="4">
        <v>146</v>
      </c>
      <c r="Q1315" s="4" t="str">
        <f t="shared" si="68"/>
        <v>莱芜市</v>
      </c>
      <c r="R1315" s="4">
        <f t="shared" si="66"/>
        <v>15</v>
      </c>
      <c r="S1315" s="4" t="str">
        <f t="shared" si="67"/>
        <v>山东省</v>
      </c>
    </row>
    <row r="1316" spans="14:19">
      <c r="N1316" s="4">
        <v>1315</v>
      </c>
      <c r="O1316" s="4" t="s">
        <v>2192</v>
      </c>
      <c r="P1316" s="4">
        <v>146</v>
      </c>
      <c r="Q1316" s="4" t="str">
        <f t="shared" si="68"/>
        <v>莱芜市</v>
      </c>
      <c r="R1316" s="4">
        <f t="shared" si="66"/>
        <v>15</v>
      </c>
      <c r="S1316" s="4" t="str">
        <f t="shared" si="67"/>
        <v>山东省</v>
      </c>
    </row>
    <row r="1317" spans="14:19">
      <c r="N1317" s="4">
        <v>1316</v>
      </c>
      <c r="O1317" s="4" t="s">
        <v>2193</v>
      </c>
      <c r="P1317" s="4">
        <v>147</v>
      </c>
      <c r="Q1317" s="4" t="str">
        <f t="shared" si="68"/>
        <v>临沂市</v>
      </c>
      <c r="R1317" s="4">
        <f t="shared" si="66"/>
        <v>15</v>
      </c>
      <c r="S1317" s="4" t="str">
        <f t="shared" si="67"/>
        <v>山东省</v>
      </c>
    </row>
    <row r="1318" spans="14:19">
      <c r="N1318" s="4">
        <v>1317</v>
      </c>
      <c r="O1318" s="4" t="s">
        <v>2194</v>
      </c>
      <c r="P1318" s="4">
        <v>147</v>
      </c>
      <c r="Q1318" s="4" t="str">
        <f t="shared" si="68"/>
        <v>临沂市</v>
      </c>
      <c r="R1318" s="4">
        <f t="shared" si="66"/>
        <v>15</v>
      </c>
      <c r="S1318" s="4" t="str">
        <f t="shared" si="67"/>
        <v>山东省</v>
      </c>
    </row>
    <row r="1319" spans="14:19">
      <c r="N1319" s="4">
        <v>1318</v>
      </c>
      <c r="O1319" s="4" t="s">
        <v>239</v>
      </c>
      <c r="P1319" s="4">
        <v>147</v>
      </c>
      <c r="Q1319" s="4" t="str">
        <f t="shared" si="68"/>
        <v>临沂市</v>
      </c>
      <c r="R1319" s="4">
        <f t="shared" si="66"/>
        <v>15</v>
      </c>
      <c r="S1319" s="4" t="str">
        <f t="shared" si="67"/>
        <v>山东省</v>
      </c>
    </row>
    <row r="1320" spans="14:19">
      <c r="N1320" s="4">
        <v>1319</v>
      </c>
      <c r="O1320" s="4" t="s">
        <v>2195</v>
      </c>
      <c r="P1320" s="4">
        <v>147</v>
      </c>
      <c r="Q1320" s="4" t="str">
        <f t="shared" si="68"/>
        <v>临沂市</v>
      </c>
      <c r="R1320" s="4">
        <f t="shared" si="66"/>
        <v>15</v>
      </c>
      <c r="S1320" s="4" t="str">
        <f t="shared" si="67"/>
        <v>山东省</v>
      </c>
    </row>
    <row r="1321" spans="14:19">
      <c r="N1321" s="4">
        <v>1320</v>
      </c>
      <c r="O1321" s="4" t="s">
        <v>2196</v>
      </c>
      <c r="P1321" s="4">
        <v>147</v>
      </c>
      <c r="Q1321" s="4" t="str">
        <f t="shared" si="68"/>
        <v>临沂市</v>
      </c>
      <c r="R1321" s="4">
        <f t="shared" si="66"/>
        <v>15</v>
      </c>
      <c r="S1321" s="4" t="str">
        <f t="shared" si="67"/>
        <v>山东省</v>
      </c>
    </row>
    <row r="1322" spans="14:19">
      <c r="N1322" s="4">
        <v>1321</v>
      </c>
      <c r="O1322" s="4" t="s">
        <v>2197</v>
      </c>
      <c r="P1322" s="4">
        <v>147</v>
      </c>
      <c r="Q1322" s="4" t="str">
        <f t="shared" si="68"/>
        <v>临沂市</v>
      </c>
      <c r="R1322" s="4">
        <f t="shared" si="66"/>
        <v>15</v>
      </c>
      <c r="S1322" s="4" t="str">
        <f t="shared" si="67"/>
        <v>山东省</v>
      </c>
    </row>
    <row r="1323" spans="14:19">
      <c r="N1323" s="4">
        <v>1322</v>
      </c>
      <c r="O1323" s="4" t="s">
        <v>2198</v>
      </c>
      <c r="P1323" s="4">
        <v>147</v>
      </c>
      <c r="Q1323" s="4" t="str">
        <f t="shared" si="68"/>
        <v>临沂市</v>
      </c>
      <c r="R1323" s="4">
        <f t="shared" si="66"/>
        <v>15</v>
      </c>
      <c r="S1323" s="4" t="str">
        <f t="shared" si="67"/>
        <v>山东省</v>
      </c>
    </row>
    <row r="1324" spans="14:19">
      <c r="N1324" s="4">
        <v>1323</v>
      </c>
      <c r="O1324" s="4" t="s">
        <v>2199</v>
      </c>
      <c r="P1324" s="4">
        <v>147</v>
      </c>
      <c r="Q1324" s="4" t="str">
        <f t="shared" si="68"/>
        <v>临沂市</v>
      </c>
      <c r="R1324" s="4">
        <f t="shared" si="66"/>
        <v>15</v>
      </c>
      <c r="S1324" s="4" t="str">
        <f t="shared" si="67"/>
        <v>山东省</v>
      </c>
    </row>
    <row r="1325" spans="14:19">
      <c r="N1325" s="4">
        <v>1324</v>
      </c>
      <c r="O1325" s="4" t="s">
        <v>2200</v>
      </c>
      <c r="P1325" s="4">
        <v>147</v>
      </c>
      <c r="Q1325" s="4" t="str">
        <f t="shared" si="68"/>
        <v>临沂市</v>
      </c>
      <c r="R1325" s="4">
        <f t="shared" si="66"/>
        <v>15</v>
      </c>
      <c r="S1325" s="4" t="str">
        <f t="shared" si="67"/>
        <v>山东省</v>
      </c>
    </row>
    <row r="1326" spans="14:19">
      <c r="N1326" s="4">
        <v>1325</v>
      </c>
      <c r="O1326" s="4" t="s">
        <v>2201</v>
      </c>
      <c r="P1326" s="4">
        <v>147</v>
      </c>
      <c r="Q1326" s="4" t="str">
        <f t="shared" si="68"/>
        <v>临沂市</v>
      </c>
      <c r="R1326" s="4">
        <f t="shared" si="66"/>
        <v>15</v>
      </c>
      <c r="S1326" s="4" t="str">
        <f t="shared" si="67"/>
        <v>山东省</v>
      </c>
    </row>
    <row r="1327" spans="14:19">
      <c r="N1327" s="4">
        <v>1326</v>
      </c>
      <c r="O1327" s="4" t="s">
        <v>2202</v>
      </c>
      <c r="P1327" s="4">
        <v>147</v>
      </c>
      <c r="Q1327" s="4" t="str">
        <f t="shared" si="68"/>
        <v>临沂市</v>
      </c>
      <c r="R1327" s="4">
        <f t="shared" si="66"/>
        <v>15</v>
      </c>
      <c r="S1327" s="4" t="str">
        <f t="shared" si="67"/>
        <v>山东省</v>
      </c>
    </row>
    <row r="1328" spans="14:19">
      <c r="N1328" s="4">
        <v>1327</v>
      </c>
      <c r="O1328" s="4" t="s">
        <v>2203</v>
      </c>
      <c r="P1328" s="4">
        <v>147</v>
      </c>
      <c r="Q1328" s="4" t="str">
        <f t="shared" si="68"/>
        <v>临沂市</v>
      </c>
      <c r="R1328" s="4">
        <f t="shared" si="66"/>
        <v>15</v>
      </c>
      <c r="S1328" s="4" t="str">
        <f t="shared" si="67"/>
        <v>山东省</v>
      </c>
    </row>
    <row r="1329" spans="14:19">
      <c r="N1329" s="4">
        <v>1328</v>
      </c>
      <c r="O1329" s="4" t="s">
        <v>2204</v>
      </c>
      <c r="P1329" s="4">
        <v>148</v>
      </c>
      <c r="Q1329" s="4" t="str">
        <f t="shared" si="68"/>
        <v>德州市</v>
      </c>
      <c r="R1329" s="4">
        <f t="shared" si="66"/>
        <v>15</v>
      </c>
      <c r="S1329" s="4" t="str">
        <f t="shared" si="67"/>
        <v>山东省</v>
      </c>
    </row>
    <row r="1330" spans="14:19">
      <c r="N1330" s="4">
        <v>1329</v>
      </c>
      <c r="O1330" s="4" t="s">
        <v>2205</v>
      </c>
      <c r="P1330" s="4">
        <v>148</v>
      </c>
      <c r="Q1330" s="4" t="str">
        <f t="shared" si="68"/>
        <v>德州市</v>
      </c>
      <c r="R1330" s="4">
        <f t="shared" si="66"/>
        <v>15</v>
      </c>
      <c r="S1330" s="4" t="str">
        <f t="shared" si="67"/>
        <v>山东省</v>
      </c>
    </row>
    <row r="1331" spans="14:19">
      <c r="N1331" s="4">
        <v>1330</v>
      </c>
      <c r="O1331" s="4" t="s">
        <v>2206</v>
      </c>
      <c r="P1331" s="4">
        <v>148</v>
      </c>
      <c r="Q1331" s="4" t="str">
        <f t="shared" si="68"/>
        <v>德州市</v>
      </c>
      <c r="R1331" s="4">
        <f t="shared" si="66"/>
        <v>15</v>
      </c>
      <c r="S1331" s="4" t="str">
        <f t="shared" si="67"/>
        <v>山东省</v>
      </c>
    </row>
    <row r="1332" spans="14:19">
      <c r="N1332" s="4">
        <v>1331</v>
      </c>
      <c r="O1332" s="4" t="s">
        <v>2207</v>
      </c>
      <c r="P1332" s="4">
        <v>148</v>
      </c>
      <c r="Q1332" s="4" t="str">
        <f t="shared" si="68"/>
        <v>德州市</v>
      </c>
      <c r="R1332" s="4">
        <f t="shared" si="66"/>
        <v>15</v>
      </c>
      <c r="S1332" s="4" t="str">
        <f t="shared" si="67"/>
        <v>山东省</v>
      </c>
    </row>
    <row r="1333" spans="14:19">
      <c r="N1333" s="4">
        <v>1332</v>
      </c>
      <c r="O1333" s="4" t="s">
        <v>2208</v>
      </c>
      <c r="P1333" s="4">
        <v>148</v>
      </c>
      <c r="Q1333" s="4" t="str">
        <f t="shared" si="68"/>
        <v>德州市</v>
      </c>
      <c r="R1333" s="4">
        <f t="shared" si="66"/>
        <v>15</v>
      </c>
      <c r="S1333" s="4" t="str">
        <f t="shared" si="67"/>
        <v>山东省</v>
      </c>
    </row>
    <row r="1334" spans="14:19">
      <c r="N1334" s="4">
        <v>1333</v>
      </c>
      <c r="O1334" s="4" t="s">
        <v>2209</v>
      </c>
      <c r="P1334" s="4">
        <v>148</v>
      </c>
      <c r="Q1334" s="4" t="str">
        <f t="shared" si="68"/>
        <v>德州市</v>
      </c>
      <c r="R1334" s="4">
        <f t="shared" si="66"/>
        <v>15</v>
      </c>
      <c r="S1334" s="4" t="str">
        <f t="shared" si="67"/>
        <v>山东省</v>
      </c>
    </row>
    <row r="1335" spans="14:19">
      <c r="N1335" s="4">
        <v>1334</v>
      </c>
      <c r="O1335" s="4" t="s">
        <v>2210</v>
      </c>
      <c r="P1335" s="4">
        <v>148</v>
      </c>
      <c r="Q1335" s="4" t="str">
        <f t="shared" si="68"/>
        <v>德州市</v>
      </c>
      <c r="R1335" s="4">
        <f t="shared" si="66"/>
        <v>15</v>
      </c>
      <c r="S1335" s="4" t="str">
        <f t="shared" si="67"/>
        <v>山东省</v>
      </c>
    </row>
    <row r="1336" spans="14:19">
      <c r="N1336" s="4">
        <v>1335</v>
      </c>
      <c r="O1336" s="4" t="s">
        <v>2211</v>
      </c>
      <c r="P1336" s="4">
        <v>148</v>
      </c>
      <c r="Q1336" s="4" t="str">
        <f t="shared" si="68"/>
        <v>德州市</v>
      </c>
      <c r="R1336" s="4">
        <f t="shared" si="66"/>
        <v>15</v>
      </c>
      <c r="S1336" s="4" t="str">
        <f t="shared" si="67"/>
        <v>山东省</v>
      </c>
    </row>
    <row r="1337" spans="14:19">
      <c r="N1337" s="4">
        <v>1336</v>
      </c>
      <c r="O1337" s="4" t="s">
        <v>2212</v>
      </c>
      <c r="P1337" s="4">
        <v>148</v>
      </c>
      <c r="Q1337" s="4" t="str">
        <f t="shared" si="68"/>
        <v>德州市</v>
      </c>
      <c r="R1337" s="4">
        <f t="shared" si="66"/>
        <v>15</v>
      </c>
      <c r="S1337" s="4" t="str">
        <f t="shared" si="67"/>
        <v>山东省</v>
      </c>
    </row>
    <row r="1338" spans="14:19">
      <c r="N1338" s="4">
        <v>1337</v>
      </c>
      <c r="O1338" s="4" t="s">
        <v>2213</v>
      </c>
      <c r="P1338" s="4">
        <v>148</v>
      </c>
      <c r="Q1338" s="4" t="str">
        <f t="shared" si="68"/>
        <v>德州市</v>
      </c>
      <c r="R1338" s="4">
        <f t="shared" si="66"/>
        <v>15</v>
      </c>
      <c r="S1338" s="4" t="str">
        <f t="shared" si="67"/>
        <v>山东省</v>
      </c>
    </row>
    <row r="1339" spans="14:19">
      <c r="N1339" s="4">
        <v>1338</v>
      </c>
      <c r="O1339" s="4" t="s">
        <v>2214</v>
      </c>
      <c r="P1339" s="4">
        <v>148</v>
      </c>
      <c r="Q1339" s="4" t="str">
        <f t="shared" si="68"/>
        <v>德州市</v>
      </c>
      <c r="R1339" s="4">
        <f t="shared" si="66"/>
        <v>15</v>
      </c>
      <c r="S1339" s="4" t="str">
        <f t="shared" si="67"/>
        <v>山东省</v>
      </c>
    </row>
    <row r="1340" spans="14:19">
      <c r="N1340" s="4">
        <v>1339</v>
      </c>
      <c r="O1340" s="4" t="s">
        <v>2215</v>
      </c>
      <c r="P1340" s="4">
        <v>149</v>
      </c>
      <c r="Q1340" s="4" t="str">
        <f t="shared" si="68"/>
        <v>聊城市</v>
      </c>
      <c r="R1340" s="4">
        <f t="shared" si="66"/>
        <v>15</v>
      </c>
      <c r="S1340" s="4" t="str">
        <f t="shared" si="67"/>
        <v>山东省</v>
      </c>
    </row>
    <row r="1341" spans="14:19">
      <c r="N1341" s="4">
        <v>1340</v>
      </c>
      <c r="O1341" s="4" t="s">
        <v>2216</v>
      </c>
      <c r="P1341" s="4">
        <v>149</v>
      </c>
      <c r="Q1341" s="4" t="str">
        <f t="shared" si="68"/>
        <v>聊城市</v>
      </c>
      <c r="R1341" s="4">
        <f t="shared" si="66"/>
        <v>15</v>
      </c>
      <c r="S1341" s="4" t="str">
        <f t="shared" si="67"/>
        <v>山东省</v>
      </c>
    </row>
    <row r="1342" spans="14:19">
      <c r="N1342" s="4">
        <v>1341</v>
      </c>
      <c r="O1342" s="4" t="s">
        <v>2217</v>
      </c>
      <c r="P1342" s="4">
        <v>149</v>
      </c>
      <c r="Q1342" s="4" t="str">
        <f t="shared" si="68"/>
        <v>聊城市</v>
      </c>
      <c r="R1342" s="4">
        <f t="shared" si="66"/>
        <v>15</v>
      </c>
      <c r="S1342" s="4" t="str">
        <f t="shared" si="67"/>
        <v>山东省</v>
      </c>
    </row>
    <row r="1343" spans="14:19">
      <c r="N1343" s="4">
        <v>1342</v>
      </c>
      <c r="O1343" s="4" t="s">
        <v>2218</v>
      </c>
      <c r="P1343" s="4">
        <v>149</v>
      </c>
      <c r="Q1343" s="4" t="str">
        <f t="shared" si="68"/>
        <v>聊城市</v>
      </c>
      <c r="R1343" s="4">
        <f t="shared" si="66"/>
        <v>15</v>
      </c>
      <c r="S1343" s="4" t="str">
        <f t="shared" si="67"/>
        <v>山东省</v>
      </c>
    </row>
    <row r="1344" spans="14:19">
      <c r="N1344" s="4">
        <v>1343</v>
      </c>
      <c r="O1344" s="4" t="s">
        <v>2219</v>
      </c>
      <c r="P1344" s="4">
        <v>149</v>
      </c>
      <c r="Q1344" s="4" t="str">
        <f t="shared" si="68"/>
        <v>聊城市</v>
      </c>
      <c r="R1344" s="4">
        <f t="shared" si="66"/>
        <v>15</v>
      </c>
      <c r="S1344" s="4" t="str">
        <f t="shared" si="67"/>
        <v>山东省</v>
      </c>
    </row>
    <row r="1345" spans="14:19">
      <c r="N1345" s="4">
        <v>1344</v>
      </c>
      <c r="O1345" s="4" t="s">
        <v>2220</v>
      </c>
      <c r="P1345" s="4">
        <v>149</v>
      </c>
      <c r="Q1345" s="4" t="str">
        <f t="shared" si="68"/>
        <v>聊城市</v>
      </c>
      <c r="R1345" s="4">
        <f t="shared" si="66"/>
        <v>15</v>
      </c>
      <c r="S1345" s="4" t="str">
        <f t="shared" si="67"/>
        <v>山东省</v>
      </c>
    </row>
    <row r="1346" spans="14:19">
      <c r="N1346" s="4">
        <v>1345</v>
      </c>
      <c r="O1346" s="4" t="s">
        <v>2221</v>
      </c>
      <c r="P1346" s="4">
        <v>149</v>
      </c>
      <c r="Q1346" s="4" t="str">
        <f t="shared" si="68"/>
        <v>聊城市</v>
      </c>
      <c r="R1346" s="4">
        <f t="shared" ref="R1346:R1409" si="69">VLOOKUP(P1346,$I$2:$M$346,3,FALSE)</f>
        <v>15</v>
      </c>
      <c r="S1346" s="4" t="str">
        <f t="shared" ref="S1346:S1409" si="70">VLOOKUP(P1346,$I$2:$M$346,4,FALSE)</f>
        <v>山东省</v>
      </c>
    </row>
    <row r="1347" spans="14:19">
      <c r="N1347" s="4">
        <v>1346</v>
      </c>
      <c r="O1347" s="4" t="s">
        <v>2222</v>
      </c>
      <c r="P1347" s="4">
        <v>149</v>
      </c>
      <c r="Q1347" s="4" t="str">
        <f t="shared" ref="Q1347:Q1410" si="71">VLOOKUP(P1347,$I$2:$J$346,2,FALSE)</f>
        <v>聊城市</v>
      </c>
      <c r="R1347" s="4">
        <f t="shared" si="69"/>
        <v>15</v>
      </c>
      <c r="S1347" s="4" t="str">
        <f t="shared" si="70"/>
        <v>山东省</v>
      </c>
    </row>
    <row r="1348" spans="14:19">
      <c r="N1348" s="4">
        <v>1347</v>
      </c>
      <c r="O1348" s="4" t="s">
        <v>2223</v>
      </c>
      <c r="P1348" s="4">
        <v>150</v>
      </c>
      <c r="Q1348" s="4" t="str">
        <f t="shared" si="71"/>
        <v>滨州市</v>
      </c>
      <c r="R1348" s="4">
        <f t="shared" si="69"/>
        <v>15</v>
      </c>
      <c r="S1348" s="4" t="str">
        <f t="shared" si="70"/>
        <v>山东省</v>
      </c>
    </row>
    <row r="1349" spans="14:19">
      <c r="N1349" s="4">
        <v>1348</v>
      </c>
      <c r="O1349" s="4" t="s">
        <v>2224</v>
      </c>
      <c r="P1349" s="4">
        <v>150</v>
      </c>
      <c r="Q1349" s="4" t="str">
        <f t="shared" si="71"/>
        <v>滨州市</v>
      </c>
      <c r="R1349" s="4">
        <f t="shared" si="69"/>
        <v>15</v>
      </c>
      <c r="S1349" s="4" t="str">
        <f t="shared" si="70"/>
        <v>山东省</v>
      </c>
    </row>
    <row r="1350" spans="14:19">
      <c r="N1350" s="4">
        <v>1349</v>
      </c>
      <c r="O1350" s="4" t="s">
        <v>2225</v>
      </c>
      <c r="P1350" s="4">
        <v>150</v>
      </c>
      <c r="Q1350" s="4" t="str">
        <f t="shared" si="71"/>
        <v>滨州市</v>
      </c>
      <c r="R1350" s="4">
        <f t="shared" si="69"/>
        <v>15</v>
      </c>
      <c r="S1350" s="4" t="str">
        <f t="shared" si="70"/>
        <v>山东省</v>
      </c>
    </row>
    <row r="1351" spans="14:19">
      <c r="N1351" s="4">
        <v>1350</v>
      </c>
      <c r="O1351" s="4" t="s">
        <v>2226</v>
      </c>
      <c r="P1351" s="4">
        <v>150</v>
      </c>
      <c r="Q1351" s="4" t="str">
        <f t="shared" si="71"/>
        <v>滨州市</v>
      </c>
      <c r="R1351" s="4">
        <f t="shared" si="69"/>
        <v>15</v>
      </c>
      <c r="S1351" s="4" t="str">
        <f t="shared" si="70"/>
        <v>山东省</v>
      </c>
    </row>
    <row r="1352" spans="14:19">
      <c r="N1352" s="4">
        <v>1351</v>
      </c>
      <c r="O1352" s="4" t="s">
        <v>2227</v>
      </c>
      <c r="P1352" s="4">
        <v>150</v>
      </c>
      <c r="Q1352" s="4" t="str">
        <f t="shared" si="71"/>
        <v>滨州市</v>
      </c>
      <c r="R1352" s="4">
        <f t="shared" si="69"/>
        <v>15</v>
      </c>
      <c r="S1352" s="4" t="str">
        <f t="shared" si="70"/>
        <v>山东省</v>
      </c>
    </row>
    <row r="1353" spans="14:19">
      <c r="N1353" s="4">
        <v>1352</v>
      </c>
      <c r="O1353" s="4" t="s">
        <v>2228</v>
      </c>
      <c r="P1353" s="4">
        <v>150</v>
      </c>
      <c r="Q1353" s="4" t="str">
        <f t="shared" si="71"/>
        <v>滨州市</v>
      </c>
      <c r="R1353" s="4">
        <f t="shared" si="69"/>
        <v>15</v>
      </c>
      <c r="S1353" s="4" t="str">
        <f t="shared" si="70"/>
        <v>山东省</v>
      </c>
    </row>
    <row r="1354" spans="14:19">
      <c r="N1354" s="4">
        <v>1353</v>
      </c>
      <c r="O1354" s="4" t="s">
        <v>2229</v>
      </c>
      <c r="P1354" s="4">
        <v>150</v>
      </c>
      <c r="Q1354" s="4" t="str">
        <f t="shared" si="71"/>
        <v>滨州市</v>
      </c>
      <c r="R1354" s="4">
        <f t="shared" si="69"/>
        <v>15</v>
      </c>
      <c r="S1354" s="4" t="str">
        <f t="shared" si="70"/>
        <v>山东省</v>
      </c>
    </row>
    <row r="1355" spans="14:19">
      <c r="N1355" s="4">
        <v>1354</v>
      </c>
      <c r="O1355" s="4" t="s">
        <v>2230</v>
      </c>
      <c r="P1355" s="4">
        <v>151</v>
      </c>
      <c r="Q1355" s="4" t="str">
        <f t="shared" si="71"/>
        <v>荷泽市</v>
      </c>
      <c r="R1355" s="4">
        <f t="shared" si="69"/>
        <v>15</v>
      </c>
      <c r="S1355" s="4" t="str">
        <f t="shared" si="70"/>
        <v>山东省</v>
      </c>
    </row>
    <row r="1356" spans="14:19">
      <c r="N1356" s="4">
        <v>1355</v>
      </c>
      <c r="O1356" s="4" t="s">
        <v>2231</v>
      </c>
      <c r="P1356" s="4">
        <v>151</v>
      </c>
      <c r="Q1356" s="4" t="str">
        <f t="shared" si="71"/>
        <v>荷泽市</v>
      </c>
      <c r="R1356" s="4">
        <f t="shared" si="69"/>
        <v>15</v>
      </c>
      <c r="S1356" s="4" t="str">
        <f t="shared" si="70"/>
        <v>山东省</v>
      </c>
    </row>
    <row r="1357" spans="14:19">
      <c r="N1357" s="4">
        <v>1356</v>
      </c>
      <c r="O1357" s="4" t="s">
        <v>2232</v>
      </c>
      <c r="P1357" s="4">
        <v>151</v>
      </c>
      <c r="Q1357" s="4" t="str">
        <f t="shared" si="71"/>
        <v>荷泽市</v>
      </c>
      <c r="R1357" s="4">
        <f t="shared" si="69"/>
        <v>15</v>
      </c>
      <c r="S1357" s="4" t="str">
        <f t="shared" si="70"/>
        <v>山东省</v>
      </c>
    </row>
    <row r="1358" spans="14:19">
      <c r="N1358" s="4">
        <v>1357</v>
      </c>
      <c r="O1358" s="4" t="s">
        <v>2233</v>
      </c>
      <c r="P1358" s="4">
        <v>151</v>
      </c>
      <c r="Q1358" s="4" t="str">
        <f t="shared" si="71"/>
        <v>荷泽市</v>
      </c>
      <c r="R1358" s="4">
        <f t="shared" si="69"/>
        <v>15</v>
      </c>
      <c r="S1358" s="4" t="str">
        <f t="shared" si="70"/>
        <v>山东省</v>
      </c>
    </row>
    <row r="1359" spans="14:19">
      <c r="N1359" s="4">
        <v>1358</v>
      </c>
      <c r="O1359" s="4" t="s">
        <v>2234</v>
      </c>
      <c r="P1359" s="4">
        <v>151</v>
      </c>
      <c r="Q1359" s="4" t="str">
        <f t="shared" si="71"/>
        <v>荷泽市</v>
      </c>
      <c r="R1359" s="4">
        <f t="shared" si="69"/>
        <v>15</v>
      </c>
      <c r="S1359" s="4" t="str">
        <f t="shared" si="70"/>
        <v>山东省</v>
      </c>
    </row>
    <row r="1360" spans="14:19">
      <c r="N1360" s="4">
        <v>1359</v>
      </c>
      <c r="O1360" s="4" t="s">
        <v>2235</v>
      </c>
      <c r="P1360" s="4">
        <v>151</v>
      </c>
      <c r="Q1360" s="4" t="str">
        <f t="shared" si="71"/>
        <v>荷泽市</v>
      </c>
      <c r="R1360" s="4">
        <f t="shared" si="69"/>
        <v>15</v>
      </c>
      <c r="S1360" s="4" t="str">
        <f t="shared" si="70"/>
        <v>山东省</v>
      </c>
    </row>
    <row r="1361" spans="14:19">
      <c r="N1361" s="4">
        <v>1360</v>
      </c>
      <c r="O1361" s="4" t="s">
        <v>2236</v>
      </c>
      <c r="P1361" s="4">
        <v>151</v>
      </c>
      <c r="Q1361" s="4" t="str">
        <f t="shared" si="71"/>
        <v>荷泽市</v>
      </c>
      <c r="R1361" s="4">
        <f t="shared" si="69"/>
        <v>15</v>
      </c>
      <c r="S1361" s="4" t="str">
        <f t="shared" si="70"/>
        <v>山东省</v>
      </c>
    </row>
    <row r="1362" spans="14:19">
      <c r="N1362" s="4">
        <v>1361</v>
      </c>
      <c r="O1362" s="4" t="s">
        <v>2237</v>
      </c>
      <c r="P1362" s="4">
        <v>151</v>
      </c>
      <c r="Q1362" s="4" t="str">
        <f t="shared" si="71"/>
        <v>荷泽市</v>
      </c>
      <c r="R1362" s="4">
        <f t="shared" si="69"/>
        <v>15</v>
      </c>
      <c r="S1362" s="4" t="str">
        <f t="shared" si="70"/>
        <v>山东省</v>
      </c>
    </row>
    <row r="1363" spans="14:19">
      <c r="N1363" s="4">
        <v>1362</v>
      </c>
      <c r="O1363" s="4" t="s">
        <v>2238</v>
      </c>
      <c r="P1363" s="4">
        <v>151</v>
      </c>
      <c r="Q1363" s="4" t="str">
        <f t="shared" si="71"/>
        <v>荷泽市</v>
      </c>
      <c r="R1363" s="4">
        <f t="shared" si="69"/>
        <v>15</v>
      </c>
      <c r="S1363" s="4" t="str">
        <f t="shared" si="70"/>
        <v>山东省</v>
      </c>
    </row>
    <row r="1364" spans="14:19">
      <c r="N1364" s="4">
        <v>1363</v>
      </c>
      <c r="O1364" s="4" t="s">
        <v>2239</v>
      </c>
      <c r="P1364" s="4">
        <v>152</v>
      </c>
      <c r="Q1364" s="4" t="str">
        <f t="shared" si="71"/>
        <v>郑州市</v>
      </c>
      <c r="R1364" s="4">
        <f t="shared" si="69"/>
        <v>16</v>
      </c>
      <c r="S1364" s="4" t="str">
        <f t="shared" si="70"/>
        <v>河南省</v>
      </c>
    </row>
    <row r="1365" spans="14:19">
      <c r="N1365" s="4">
        <v>1364</v>
      </c>
      <c r="O1365" s="4" t="s">
        <v>2240</v>
      </c>
      <c r="P1365" s="4">
        <v>152</v>
      </c>
      <c r="Q1365" s="4" t="str">
        <f t="shared" si="71"/>
        <v>郑州市</v>
      </c>
      <c r="R1365" s="4">
        <f t="shared" si="69"/>
        <v>16</v>
      </c>
      <c r="S1365" s="4" t="str">
        <f t="shared" si="70"/>
        <v>河南省</v>
      </c>
    </row>
    <row r="1366" spans="14:19">
      <c r="N1366" s="4">
        <v>1365</v>
      </c>
      <c r="O1366" s="4" t="s">
        <v>2241</v>
      </c>
      <c r="P1366" s="4">
        <v>152</v>
      </c>
      <c r="Q1366" s="4" t="str">
        <f t="shared" si="71"/>
        <v>郑州市</v>
      </c>
      <c r="R1366" s="4">
        <f t="shared" si="69"/>
        <v>16</v>
      </c>
      <c r="S1366" s="4" t="str">
        <f t="shared" si="70"/>
        <v>河南省</v>
      </c>
    </row>
    <row r="1367" spans="14:19">
      <c r="N1367" s="4">
        <v>1366</v>
      </c>
      <c r="O1367" s="4" t="s">
        <v>2242</v>
      </c>
      <c r="P1367" s="4">
        <v>152</v>
      </c>
      <c r="Q1367" s="4" t="str">
        <f t="shared" si="71"/>
        <v>郑州市</v>
      </c>
      <c r="R1367" s="4">
        <f t="shared" si="69"/>
        <v>16</v>
      </c>
      <c r="S1367" s="4" t="str">
        <f t="shared" si="70"/>
        <v>河南省</v>
      </c>
    </row>
    <row r="1368" spans="14:19">
      <c r="N1368" s="4">
        <v>1367</v>
      </c>
      <c r="O1368" s="4" t="s">
        <v>2243</v>
      </c>
      <c r="P1368" s="4">
        <v>152</v>
      </c>
      <c r="Q1368" s="4" t="str">
        <f t="shared" si="71"/>
        <v>郑州市</v>
      </c>
      <c r="R1368" s="4">
        <f t="shared" si="69"/>
        <v>16</v>
      </c>
      <c r="S1368" s="4" t="str">
        <f t="shared" si="70"/>
        <v>河南省</v>
      </c>
    </row>
    <row r="1369" spans="14:19">
      <c r="N1369" s="4">
        <v>1368</v>
      </c>
      <c r="O1369" s="4" t="s">
        <v>2244</v>
      </c>
      <c r="P1369" s="4">
        <v>152</v>
      </c>
      <c r="Q1369" s="4" t="str">
        <f t="shared" si="71"/>
        <v>郑州市</v>
      </c>
      <c r="R1369" s="4">
        <f t="shared" si="69"/>
        <v>16</v>
      </c>
      <c r="S1369" s="4" t="str">
        <f t="shared" si="70"/>
        <v>河南省</v>
      </c>
    </row>
    <row r="1370" spans="14:19">
      <c r="N1370" s="4">
        <v>1369</v>
      </c>
      <c r="O1370" s="4" t="s">
        <v>2245</v>
      </c>
      <c r="P1370" s="4">
        <v>152</v>
      </c>
      <c r="Q1370" s="4" t="str">
        <f t="shared" si="71"/>
        <v>郑州市</v>
      </c>
      <c r="R1370" s="4">
        <f t="shared" si="69"/>
        <v>16</v>
      </c>
      <c r="S1370" s="4" t="str">
        <f t="shared" si="70"/>
        <v>河南省</v>
      </c>
    </row>
    <row r="1371" spans="14:19">
      <c r="N1371" s="4">
        <v>1370</v>
      </c>
      <c r="O1371" s="4" t="s">
        <v>2246</v>
      </c>
      <c r="P1371" s="4">
        <v>152</v>
      </c>
      <c r="Q1371" s="4" t="str">
        <f t="shared" si="71"/>
        <v>郑州市</v>
      </c>
      <c r="R1371" s="4">
        <f t="shared" si="69"/>
        <v>16</v>
      </c>
      <c r="S1371" s="4" t="str">
        <f t="shared" si="70"/>
        <v>河南省</v>
      </c>
    </row>
    <row r="1372" spans="14:19">
      <c r="N1372" s="4">
        <v>1371</v>
      </c>
      <c r="O1372" s="4" t="s">
        <v>2247</v>
      </c>
      <c r="P1372" s="4">
        <v>152</v>
      </c>
      <c r="Q1372" s="4" t="str">
        <f t="shared" si="71"/>
        <v>郑州市</v>
      </c>
      <c r="R1372" s="4">
        <f t="shared" si="69"/>
        <v>16</v>
      </c>
      <c r="S1372" s="4" t="str">
        <f t="shared" si="70"/>
        <v>河南省</v>
      </c>
    </row>
    <row r="1373" spans="14:19">
      <c r="N1373" s="4">
        <v>1372</v>
      </c>
      <c r="O1373" s="4" t="s">
        <v>2248</v>
      </c>
      <c r="P1373" s="4">
        <v>152</v>
      </c>
      <c r="Q1373" s="4" t="str">
        <f t="shared" si="71"/>
        <v>郑州市</v>
      </c>
      <c r="R1373" s="4">
        <f t="shared" si="69"/>
        <v>16</v>
      </c>
      <c r="S1373" s="4" t="str">
        <f t="shared" si="70"/>
        <v>河南省</v>
      </c>
    </row>
    <row r="1374" spans="14:19">
      <c r="N1374" s="4">
        <v>1373</v>
      </c>
      <c r="O1374" s="4" t="s">
        <v>2249</v>
      </c>
      <c r="P1374" s="4">
        <v>152</v>
      </c>
      <c r="Q1374" s="4" t="str">
        <f t="shared" si="71"/>
        <v>郑州市</v>
      </c>
      <c r="R1374" s="4">
        <f t="shared" si="69"/>
        <v>16</v>
      </c>
      <c r="S1374" s="4" t="str">
        <f t="shared" si="70"/>
        <v>河南省</v>
      </c>
    </row>
    <row r="1375" spans="14:19">
      <c r="N1375" s="4">
        <v>1374</v>
      </c>
      <c r="O1375" s="4" t="s">
        <v>2250</v>
      </c>
      <c r="P1375" s="4">
        <v>152</v>
      </c>
      <c r="Q1375" s="4" t="str">
        <f t="shared" si="71"/>
        <v>郑州市</v>
      </c>
      <c r="R1375" s="4">
        <f t="shared" si="69"/>
        <v>16</v>
      </c>
      <c r="S1375" s="4" t="str">
        <f t="shared" si="70"/>
        <v>河南省</v>
      </c>
    </row>
    <row r="1376" spans="14:19">
      <c r="N1376" s="4">
        <v>1375</v>
      </c>
      <c r="O1376" s="4" t="s">
        <v>2251</v>
      </c>
      <c r="P1376" s="4">
        <v>153</v>
      </c>
      <c r="Q1376" s="4" t="str">
        <f t="shared" si="71"/>
        <v>开封市</v>
      </c>
      <c r="R1376" s="4">
        <f t="shared" si="69"/>
        <v>16</v>
      </c>
      <c r="S1376" s="4" t="str">
        <f t="shared" si="70"/>
        <v>河南省</v>
      </c>
    </row>
    <row r="1377" spans="14:19">
      <c r="N1377" s="4">
        <v>1376</v>
      </c>
      <c r="O1377" s="4" t="s">
        <v>2252</v>
      </c>
      <c r="P1377" s="4">
        <v>153</v>
      </c>
      <c r="Q1377" s="4" t="str">
        <f t="shared" si="71"/>
        <v>开封市</v>
      </c>
      <c r="R1377" s="4">
        <f t="shared" si="69"/>
        <v>16</v>
      </c>
      <c r="S1377" s="4" t="str">
        <f t="shared" si="70"/>
        <v>河南省</v>
      </c>
    </row>
    <row r="1378" spans="14:19">
      <c r="N1378" s="4">
        <v>1377</v>
      </c>
      <c r="O1378" s="4" t="s">
        <v>1629</v>
      </c>
      <c r="P1378" s="4">
        <v>153</v>
      </c>
      <c r="Q1378" s="4" t="str">
        <f t="shared" si="71"/>
        <v>开封市</v>
      </c>
      <c r="R1378" s="4">
        <f t="shared" si="69"/>
        <v>16</v>
      </c>
      <c r="S1378" s="4" t="str">
        <f t="shared" si="70"/>
        <v>河南省</v>
      </c>
    </row>
    <row r="1379" spans="14:19">
      <c r="N1379" s="4">
        <v>1378</v>
      </c>
      <c r="O1379" s="4" t="s">
        <v>1423</v>
      </c>
      <c r="P1379" s="4">
        <v>153</v>
      </c>
      <c r="Q1379" s="4" t="str">
        <f t="shared" si="71"/>
        <v>开封市</v>
      </c>
      <c r="R1379" s="4">
        <f t="shared" si="69"/>
        <v>16</v>
      </c>
      <c r="S1379" s="4" t="str">
        <f t="shared" si="70"/>
        <v>河南省</v>
      </c>
    </row>
    <row r="1380" spans="14:19">
      <c r="N1380" s="4">
        <v>1379</v>
      </c>
      <c r="O1380" s="4" t="s">
        <v>914</v>
      </c>
      <c r="P1380" s="4">
        <v>153</v>
      </c>
      <c r="Q1380" s="4" t="str">
        <f t="shared" si="71"/>
        <v>开封市</v>
      </c>
      <c r="R1380" s="4">
        <f t="shared" si="69"/>
        <v>16</v>
      </c>
      <c r="S1380" s="4" t="str">
        <f t="shared" si="70"/>
        <v>河南省</v>
      </c>
    </row>
    <row r="1381" spans="14:19">
      <c r="N1381" s="4">
        <v>1380</v>
      </c>
      <c r="O1381" s="4" t="s">
        <v>2253</v>
      </c>
      <c r="P1381" s="4">
        <v>153</v>
      </c>
      <c r="Q1381" s="4" t="str">
        <f t="shared" si="71"/>
        <v>开封市</v>
      </c>
      <c r="R1381" s="4">
        <f t="shared" si="69"/>
        <v>16</v>
      </c>
      <c r="S1381" s="4" t="str">
        <f t="shared" si="70"/>
        <v>河南省</v>
      </c>
    </row>
    <row r="1382" spans="14:19">
      <c r="N1382" s="4">
        <v>1381</v>
      </c>
      <c r="O1382" s="4" t="s">
        <v>2254</v>
      </c>
      <c r="P1382" s="4">
        <v>153</v>
      </c>
      <c r="Q1382" s="4" t="str">
        <f t="shared" si="71"/>
        <v>开封市</v>
      </c>
      <c r="R1382" s="4">
        <f t="shared" si="69"/>
        <v>16</v>
      </c>
      <c r="S1382" s="4" t="str">
        <f t="shared" si="70"/>
        <v>河南省</v>
      </c>
    </row>
    <row r="1383" spans="14:19">
      <c r="N1383" s="4">
        <v>1382</v>
      </c>
      <c r="O1383" s="4" t="s">
        <v>2255</v>
      </c>
      <c r="P1383" s="4">
        <v>153</v>
      </c>
      <c r="Q1383" s="4" t="str">
        <f t="shared" si="71"/>
        <v>开封市</v>
      </c>
      <c r="R1383" s="4">
        <f t="shared" si="69"/>
        <v>16</v>
      </c>
      <c r="S1383" s="4" t="str">
        <f t="shared" si="70"/>
        <v>河南省</v>
      </c>
    </row>
    <row r="1384" spans="14:19">
      <c r="N1384" s="4">
        <v>1383</v>
      </c>
      <c r="O1384" s="4" t="s">
        <v>2256</v>
      </c>
      <c r="P1384" s="4">
        <v>153</v>
      </c>
      <c r="Q1384" s="4" t="str">
        <f t="shared" si="71"/>
        <v>开封市</v>
      </c>
      <c r="R1384" s="4">
        <f t="shared" si="69"/>
        <v>16</v>
      </c>
      <c r="S1384" s="4" t="str">
        <f t="shared" si="70"/>
        <v>河南省</v>
      </c>
    </row>
    <row r="1385" spans="14:19">
      <c r="N1385" s="4">
        <v>1384</v>
      </c>
      <c r="O1385" s="4" t="s">
        <v>2257</v>
      </c>
      <c r="P1385" s="4">
        <v>153</v>
      </c>
      <c r="Q1385" s="4" t="str">
        <f t="shared" si="71"/>
        <v>开封市</v>
      </c>
      <c r="R1385" s="4">
        <f t="shared" si="69"/>
        <v>16</v>
      </c>
      <c r="S1385" s="4" t="str">
        <f t="shared" si="70"/>
        <v>河南省</v>
      </c>
    </row>
    <row r="1386" spans="14:19">
      <c r="N1386" s="4">
        <v>1385</v>
      </c>
      <c r="O1386" s="4" t="s">
        <v>2258</v>
      </c>
      <c r="P1386" s="4">
        <v>154</v>
      </c>
      <c r="Q1386" s="4" t="str">
        <f t="shared" si="71"/>
        <v>洛阳市</v>
      </c>
      <c r="R1386" s="4">
        <f t="shared" si="69"/>
        <v>16</v>
      </c>
      <c r="S1386" s="4" t="str">
        <f t="shared" si="70"/>
        <v>河南省</v>
      </c>
    </row>
    <row r="1387" spans="14:19">
      <c r="N1387" s="4">
        <v>1386</v>
      </c>
      <c r="O1387" s="4" t="s">
        <v>2259</v>
      </c>
      <c r="P1387" s="4">
        <v>154</v>
      </c>
      <c r="Q1387" s="4" t="str">
        <f t="shared" si="71"/>
        <v>洛阳市</v>
      </c>
      <c r="R1387" s="4">
        <f t="shared" si="69"/>
        <v>16</v>
      </c>
      <c r="S1387" s="4" t="str">
        <f t="shared" si="70"/>
        <v>河南省</v>
      </c>
    </row>
    <row r="1388" spans="14:19">
      <c r="N1388" s="4">
        <v>1387</v>
      </c>
      <c r="O1388" s="4" t="s">
        <v>2260</v>
      </c>
      <c r="P1388" s="4">
        <v>154</v>
      </c>
      <c r="Q1388" s="4" t="str">
        <f t="shared" si="71"/>
        <v>洛阳市</v>
      </c>
      <c r="R1388" s="4">
        <f t="shared" si="69"/>
        <v>16</v>
      </c>
      <c r="S1388" s="4" t="str">
        <f t="shared" si="70"/>
        <v>河南省</v>
      </c>
    </row>
    <row r="1389" spans="14:19">
      <c r="N1389" s="4">
        <v>1388</v>
      </c>
      <c r="O1389" s="4" t="s">
        <v>2261</v>
      </c>
      <c r="P1389" s="4">
        <v>154</v>
      </c>
      <c r="Q1389" s="4" t="str">
        <f t="shared" si="71"/>
        <v>洛阳市</v>
      </c>
      <c r="R1389" s="4">
        <f t="shared" si="69"/>
        <v>16</v>
      </c>
      <c r="S1389" s="4" t="str">
        <f t="shared" si="70"/>
        <v>河南省</v>
      </c>
    </row>
    <row r="1390" spans="14:19">
      <c r="N1390" s="4">
        <v>1389</v>
      </c>
      <c r="O1390" s="4" t="s">
        <v>2262</v>
      </c>
      <c r="P1390" s="4">
        <v>154</v>
      </c>
      <c r="Q1390" s="4" t="str">
        <f t="shared" si="71"/>
        <v>洛阳市</v>
      </c>
      <c r="R1390" s="4">
        <f t="shared" si="69"/>
        <v>16</v>
      </c>
      <c r="S1390" s="4" t="str">
        <f t="shared" si="70"/>
        <v>河南省</v>
      </c>
    </row>
    <row r="1391" spans="14:19">
      <c r="N1391" s="4">
        <v>1390</v>
      </c>
      <c r="O1391" s="4" t="s">
        <v>2263</v>
      </c>
      <c r="P1391" s="4">
        <v>154</v>
      </c>
      <c r="Q1391" s="4" t="str">
        <f t="shared" si="71"/>
        <v>洛阳市</v>
      </c>
      <c r="R1391" s="4">
        <f t="shared" si="69"/>
        <v>16</v>
      </c>
      <c r="S1391" s="4" t="str">
        <f t="shared" si="70"/>
        <v>河南省</v>
      </c>
    </row>
    <row r="1392" spans="14:19">
      <c r="N1392" s="4">
        <v>1391</v>
      </c>
      <c r="O1392" s="4" t="s">
        <v>2264</v>
      </c>
      <c r="P1392" s="4">
        <v>154</v>
      </c>
      <c r="Q1392" s="4" t="str">
        <f t="shared" si="71"/>
        <v>洛阳市</v>
      </c>
      <c r="R1392" s="4">
        <f t="shared" si="69"/>
        <v>16</v>
      </c>
      <c r="S1392" s="4" t="str">
        <f t="shared" si="70"/>
        <v>河南省</v>
      </c>
    </row>
    <row r="1393" spans="14:19">
      <c r="N1393" s="4">
        <v>1392</v>
      </c>
      <c r="O1393" s="4" t="s">
        <v>2265</v>
      </c>
      <c r="P1393" s="4">
        <v>154</v>
      </c>
      <c r="Q1393" s="4" t="str">
        <f t="shared" si="71"/>
        <v>洛阳市</v>
      </c>
      <c r="R1393" s="4">
        <f t="shared" si="69"/>
        <v>16</v>
      </c>
      <c r="S1393" s="4" t="str">
        <f t="shared" si="70"/>
        <v>河南省</v>
      </c>
    </row>
    <row r="1394" spans="14:19">
      <c r="N1394" s="4">
        <v>1393</v>
      </c>
      <c r="O1394" s="4" t="s">
        <v>2266</v>
      </c>
      <c r="P1394" s="4">
        <v>154</v>
      </c>
      <c r="Q1394" s="4" t="str">
        <f t="shared" si="71"/>
        <v>洛阳市</v>
      </c>
      <c r="R1394" s="4">
        <f t="shared" si="69"/>
        <v>16</v>
      </c>
      <c r="S1394" s="4" t="str">
        <f t="shared" si="70"/>
        <v>河南省</v>
      </c>
    </row>
    <row r="1395" spans="14:19">
      <c r="N1395" s="4">
        <v>1394</v>
      </c>
      <c r="O1395" s="4" t="s">
        <v>2267</v>
      </c>
      <c r="P1395" s="4">
        <v>154</v>
      </c>
      <c r="Q1395" s="4" t="str">
        <f t="shared" si="71"/>
        <v>洛阳市</v>
      </c>
      <c r="R1395" s="4">
        <f t="shared" si="69"/>
        <v>16</v>
      </c>
      <c r="S1395" s="4" t="str">
        <f t="shared" si="70"/>
        <v>河南省</v>
      </c>
    </row>
    <row r="1396" spans="14:19">
      <c r="N1396" s="4">
        <v>1395</v>
      </c>
      <c r="O1396" s="4" t="s">
        <v>2268</v>
      </c>
      <c r="P1396" s="4">
        <v>154</v>
      </c>
      <c r="Q1396" s="4" t="str">
        <f t="shared" si="71"/>
        <v>洛阳市</v>
      </c>
      <c r="R1396" s="4">
        <f t="shared" si="69"/>
        <v>16</v>
      </c>
      <c r="S1396" s="4" t="str">
        <f t="shared" si="70"/>
        <v>河南省</v>
      </c>
    </row>
    <row r="1397" spans="14:19">
      <c r="N1397" s="4">
        <v>1396</v>
      </c>
      <c r="O1397" s="4" t="s">
        <v>2269</v>
      </c>
      <c r="P1397" s="4">
        <v>154</v>
      </c>
      <c r="Q1397" s="4" t="str">
        <f t="shared" si="71"/>
        <v>洛阳市</v>
      </c>
      <c r="R1397" s="4">
        <f t="shared" si="69"/>
        <v>16</v>
      </c>
      <c r="S1397" s="4" t="str">
        <f t="shared" si="70"/>
        <v>河南省</v>
      </c>
    </row>
    <row r="1398" spans="14:19">
      <c r="N1398" s="4">
        <v>1397</v>
      </c>
      <c r="O1398" s="4" t="s">
        <v>2270</v>
      </c>
      <c r="P1398" s="4">
        <v>154</v>
      </c>
      <c r="Q1398" s="4" t="str">
        <f t="shared" si="71"/>
        <v>洛阳市</v>
      </c>
      <c r="R1398" s="4">
        <f t="shared" si="69"/>
        <v>16</v>
      </c>
      <c r="S1398" s="4" t="str">
        <f t="shared" si="70"/>
        <v>河南省</v>
      </c>
    </row>
    <row r="1399" spans="14:19">
      <c r="N1399" s="4">
        <v>1398</v>
      </c>
      <c r="O1399" s="4" t="s">
        <v>2271</v>
      </c>
      <c r="P1399" s="4">
        <v>154</v>
      </c>
      <c r="Q1399" s="4" t="str">
        <f t="shared" si="71"/>
        <v>洛阳市</v>
      </c>
      <c r="R1399" s="4">
        <f t="shared" si="69"/>
        <v>16</v>
      </c>
      <c r="S1399" s="4" t="str">
        <f t="shared" si="70"/>
        <v>河南省</v>
      </c>
    </row>
    <row r="1400" spans="14:19">
      <c r="N1400" s="4">
        <v>1399</v>
      </c>
      <c r="O1400" s="4" t="s">
        <v>2272</v>
      </c>
      <c r="P1400" s="4">
        <v>154</v>
      </c>
      <c r="Q1400" s="4" t="str">
        <f t="shared" si="71"/>
        <v>洛阳市</v>
      </c>
      <c r="R1400" s="4">
        <f t="shared" si="69"/>
        <v>16</v>
      </c>
      <c r="S1400" s="4" t="str">
        <f t="shared" si="70"/>
        <v>河南省</v>
      </c>
    </row>
    <row r="1401" spans="14:19">
      <c r="N1401" s="4">
        <v>1400</v>
      </c>
      <c r="O1401" s="4" t="s">
        <v>331</v>
      </c>
      <c r="P1401" s="4">
        <v>155</v>
      </c>
      <c r="Q1401" s="4" t="str">
        <f t="shared" si="71"/>
        <v>平顶山市</v>
      </c>
      <c r="R1401" s="4">
        <f t="shared" si="69"/>
        <v>16</v>
      </c>
      <c r="S1401" s="4" t="str">
        <f t="shared" si="70"/>
        <v>河南省</v>
      </c>
    </row>
    <row r="1402" spans="14:19">
      <c r="N1402" s="4">
        <v>1401</v>
      </c>
      <c r="O1402" s="4" t="s">
        <v>2273</v>
      </c>
      <c r="P1402" s="4">
        <v>155</v>
      </c>
      <c r="Q1402" s="4" t="str">
        <f t="shared" si="71"/>
        <v>平顶山市</v>
      </c>
      <c r="R1402" s="4">
        <f t="shared" si="69"/>
        <v>16</v>
      </c>
      <c r="S1402" s="4" t="str">
        <f t="shared" si="70"/>
        <v>河南省</v>
      </c>
    </row>
    <row r="1403" spans="14:19">
      <c r="N1403" s="4">
        <v>1402</v>
      </c>
      <c r="O1403" s="4" t="s">
        <v>2274</v>
      </c>
      <c r="P1403" s="4">
        <v>155</v>
      </c>
      <c r="Q1403" s="4" t="str">
        <f t="shared" si="71"/>
        <v>平顶山市</v>
      </c>
      <c r="R1403" s="4">
        <f t="shared" si="69"/>
        <v>16</v>
      </c>
      <c r="S1403" s="4" t="str">
        <f t="shared" si="70"/>
        <v>河南省</v>
      </c>
    </row>
    <row r="1404" spans="14:19">
      <c r="N1404" s="4">
        <v>1403</v>
      </c>
      <c r="O1404" s="4" t="s">
        <v>2275</v>
      </c>
      <c r="P1404" s="4">
        <v>155</v>
      </c>
      <c r="Q1404" s="4" t="str">
        <f t="shared" si="71"/>
        <v>平顶山市</v>
      </c>
      <c r="R1404" s="4">
        <f t="shared" si="69"/>
        <v>16</v>
      </c>
      <c r="S1404" s="4" t="str">
        <f t="shared" si="70"/>
        <v>河南省</v>
      </c>
    </row>
    <row r="1405" spans="14:19">
      <c r="N1405" s="4">
        <v>1404</v>
      </c>
      <c r="O1405" s="4" t="s">
        <v>2276</v>
      </c>
      <c r="P1405" s="4">
        <v>155</v>
      </c>
      <c r="Q1405" s="4" t="str">
        <f t="shared" si="71"/>
        <v>平顶山市</v>
      </c>
      <c r="R1405" s="4">
        <f t="shared" si="69"/>
        <v>16</v>
      </c>
      <c r="S1405" s="4" t="str">
        <f t="shared" si="70"/>
        <v>河南省</v>
      </c>
    </row>
    <row r="1406" spans="14:19">
      <c r="N1406" s="4">
        <v>1405</v>
      </c>
      <c r="O1406" s="4" t="s">
        <v>2277</v>
      </c>
      <c r="P1406" s="4">
        <v>155</v>
      </c>
      <c r="Q1406" s="4" t="str">
        <f t="shared" si="71"/>
        <v>平顶山市</v>
      </c>
      <c r="R1406" s="4">
        <f t="shared" si="69"/>
        <v>16</v>
      </c>
      <c r="S1406" s="4" t="str">
        <f t="shared" si="70"/>
        <v>河南省</v>
      </c>
    </row>
    <row r="1407" spans="14:19">
      <c r="N1407" s="4">
        <v>1406</v>
      </c>
      <c r="O1407" s="4" t="s">
        <v>2278</v>
      </c>
      <c r="P1407" s="4">
        <v>155</v>
      </c>
      <c r="Q1407" s="4" t="str">
        <f t="shared" si="71"/>
        <v>平顶山市</v>
      </c>
      <c r="R1407" s="4">
        <f t="shared" si="69"/>
        <v>16</v>
      </c>
      <c r="S1407" s="4" t="str">
        <f t="shared" si="70"/>
        <v>河南省</v>
      </c>
    </row>
    <row r="1408" spans="14:19">
      <c r="N1408" s="4">
        <v>1407</v>
      </c>
      <c r="O1408" s="4" t="s">
        <v>2279</v>
      </c>
      <c r="P1408" s="4">
        <v>155</v>
      </c>
      <c r="Q1408" s="4" t="str">
        <f t="shared" si="71"/>
        <v>平顶山市</v>
      </c>
      <c r="R1408" s="4">
        <f t="shared" si="69"/>
        <v>16</v>
      </c>
      <c r="S1408" s="4" t="str">
        <f t="shared" si="70"/>
        <v>河南省</v>
      </c>
    </row>
    <row r="1409" spans="14:19">
      <c r="N1409" s="4">
        <v>1408</v>
      </c>
      <c r="O1409" s="4" t="s">
        <v>2280</v>
      </c>
      <c r="P1409" s="4">
        <v>155</v>
      </c>
      <c r="Q1409" s="4" t="str">
        <f t="shared" si="71"/>
        <v>平顶山市</v>
      </c>
      <c r="R1409" s="4">
        <f t="shared" si="69"/>
        <v>16</v>
      </c>
      <c r="S1409" s="4" t="str">
        <f t="shared" si="70"/>
        <v>河南省</v>
      </c>
    </row>
    <row r="1410" spans="14:19">
      <c r="N1410" s="4">
        <v>1409</v>
      </c>
      <c r="O1410" s="4" t="s">
        <v>2281</v>
      </c>
      <c r="P1410" s="4">
        <v>155</v>
      </c>
      <c r="Q1410" s="4" t="str">
        <f t="shared" si="71"/>
        <v>平顶山市</v>
      </c>
      <c r="R1410" s="4">
        <f t="shared" ref="R1410:R1473" si="72">VLOOKUP(P1410,$I$2:$M$346,3,FALSE)</f>
        <v>16</v>
      </c>
      <c r="S1410" s="4" t="str">
        <f t="shared" ref="S1410:S1473" si="73">VLOOKUP(P1410,$I$2:$M$346,4,FALSE)</f>
        <v>河南省</v>
      </c>
    </row>
    <row r="1411" spans="14:19">
      <c r="N1411" s="4">
        <v>1410</v>
      </c>
      <c r="O1411" s="4" t="s">
        <v>2282</v>
      </c>
      <c r="P1411" s="4">
        <v>156</v>
      </c>
      <c r="Q1411" s="4" t="str">
        <f t="shared" ref="Q1411:Q1474" si="74">VLOOKUP(P1411,$I$2:$J$346,2,FALSE)</f>
        <v>安阳市</v>
      </c>
      <c r="R1411" s="4">
        <f t="shared" si="72"/>
        <v>16</v>
      </c>
      <c r="S1411" s="4" t="str">
        <f t="shared" si="73"/>
        <v>河南省</v>
      </c>
    </row>
    <row r="1412" spans="14:19">
      <c r="N1412" s="4">
        <v>1411</v>
      </c>
      <c r="O1412" s="4" t="s">
        <v>2283</v>
      </c>
      <c r="P1412" s="4">
        <v>156</v>
      </c>
      <c r="Q1412" s="4" t="str">
        <f t="shared" si="74"/>
        <v>安阳市</v>
      </c>
      <c r="R1412" s="4">
        <f t="shared" si="72"/>
        <v>16</v>
      </c>
      <c r="S1412" s="4" t="str">
        <f t="shared" si="73"/>
        <v>河南省</v>
      </c>
    </row>
    <row r="1413" spans="14:19">
      <c r="N1413" s="4">
        <v>1412</v>
      </c>
      <c r="O1413" s="4" t="s">
        <v>2284</v>
      </c>
      <c r="P1413" s="4">
        <v>156</v>
      </c>
      <c r="Q1413" s="4" t="str">
        <f t="shared" si="74"/>
        <v>安阳市</v>
      </c>
      <c r="R1413" s="4">
        <f t="shared" si="72"/>
        <v>16</v>
      </c>
      <c r="S1413" s="4" t="str">
        <f t="shared" si="73"/>
        <v>河南省</v>
      </c>
    </row>
    <row r="1414" spans="14:19">
      <c r="N1414" s="4">
        <v>1413</v>
      </c>
      <c r="O1414" s="4" t="s">
        <v>2285</v>
      </c>
      <c r="P1414" s="4">
        <v>156</v>
      </c>
      <c r="Q1414" s="4" t="str">
        <f t="shared" si="74"/>
        <v>安阳市</v>
      </c>
      <c r="R1414" s="4">
        <f t="shared" si="72"/>
        <v>16</v>
      </c>
      <c r="S1414" s="4" t="str">
        <f t="shared" si="73"/>
        <v>河南省</v>
      </c>
    </row>
    <row r="1415" spans="14:19">
      <c r="N1415" s="4">
        <v>1414</v>
      </c>
      <c r="O1415" s="4" t="s">
        <v>2286</v>
      </c>
      <c r="P1415" s="4">
        <v>156</v>
      </c>
      <c r="Q1415" s="4" t="str">
        <f t="shared" si="74"/>
        <v>安阳市</v>
      </c>
      <c r="R1415" s="4">
        <f t="shared" si="72"/>
        <v>16</v>
      </c>
      <c r="S1415" s="4" t="str">
        <f t="shared" si="73"/>
        <v>河南省</v>
      </c>
    </row>
    <row r="1416" spans="14:19">
      <c r="N1416" s="4">
        <v>1415</v>
      </c>
      <c r="O1416" s="4" t="s">
        <v>2287</v>
      </c>
      <c r="P1416" s="4">
        <v>156</v>
      </c>
      <c r="Q1416" s="4" t="str">
        <f t="shared" si="74"/>
        <v>安阳市</v>
      </c>
      <c r="R1416" s="4">
        <f t="shared" si="72"/>
        <v>16</v>
      </c>
      <c r="S1416" s="4" t="str">
        <f t="shared" si="73"/>
        <v>河南省</v>
      </c>
    </row>
    <row r="1417" spans="14:19">
      <c r="N1417" s="4">
        <v>1416</v>
      </c>
      <c r="O1417" s="4" t="s">
        <v>2288</v>
      </c>
      <c r="P1417" s="4">
        <v>156</v>
      </c>
      <c r="Q1417" s="4" t="str">
        <f t="shared" si="74"/>
        <v>安阳市</v>
      </c>
      <c r="R1417" s="4">
        <f t="shared" si="72"/>
        <v>16</v>
      </c>
      <c r="S1417" s="4" t="str">
        <f t="shared" si="73"/>
        <v>河南省</v>
      </c>
    </row>
    <row r="1418" spans="14:19">
      <c r="N1418" s="4">
        <v>1417</v>
      </c>
      <c r="O1418" s="4" t="s">
        <v>2289</v>
      </c>
      <c r="P1418" s="4">
        <v>156</v>
      </c>
      <c r="Q1418" s="4" t="str">
        <f t="shared" si="74"/>
        <v>安阳市</v>
      </c>
      <c r="R1418" s="4">
        <f t="shared" si="72"/>
        <v>16</v>
      </c>
      <c r="S1418" s="4" t="str">
        <f t="shared" si="73"/>
        <v>河南省</v>
      </c>
    </row>
    <row r="1419" spans="14:19">
      <c r="N1419" s="4">
        <v>1418</v>
      </c>
      <c r="O1419" s="4" t="s">
        <v>2290</v>
      </c>
      <c r="P1419" s="4">
        <v>156</v>
      </c>
      <c r="Q1419" s="4" t="str">
        <f t="shared" si="74"/>
        <v>安阳市</v>
      </c>
      <c r="R1419" s="4">
        <f t="shared" si="72"/>
        <v>16</v>
      </c>
      <c r="S1419" s="4" t="str">
        <f t="shared" si="73"/>
        <v>河南省</v>
      </c>
    </row>
    <row r="1420" spans="14:19">
      <c r="N1420" s="4">
        <v>1419</v>
      </c>
      <c r="O1420" s="4" t="s">
        <v>2291</v>
      </c>
      <c r="P1420" s="4">
        <v>157</v>
      </c>
      <c r="Q1420" s="4" t="str">
        <f t="shared" si="74"/>
        <v>鹤壁市</v>
      </c>
      <c r="R1420" s="4">
        <f t="shared" si="72"/>
        <v>16</v>
      </c>
      <c r="S1420" s="4" t="str">
        <f t="shared" si="73"/>
        <v>河南省</v>
      </c>
    </row>
    <row r="1421" spans="14:19">
      <c r="N1421" s="4">
        <v>1420</v>
      </c>
      <c r="O1421" s="4" t="s">
        <v>2292</v>
      </c>
      <c r="P1421" s="4">
        <v>157</v>
      </c>
      <c r="Q1421" s="4" t="str">
        <f t="shared" si="74"/>
        <v>鹤壁市</v>
      </c>
      <c r="R1421" s="4">
        <f t="shared" si="72"/>
        <v>16</v>
      </c>
      <c r="S1421" s="4" t="str">
        <f t="shared" si="73"/>
        <v>河南省</v>
      </c>
    </row>
    <row r="1422" spans="14:19">
      <c r="N1422" s="4">
        <v>1421</v>
      </c>
      <c r="O1422" s="4" t="s">
        <v>2293</v>
      </c>
      <c r="P1422" s="4">
        <v>157</v>
      </c>
      <c r="Q1422" s="4" t="str">
        <f t="shared" si="74"/>
        <v>鹤壁市</v>
      </c>
      <c r="R1422" s="4">
        <f t="shared" si="72"/>
        <v>16</v>
      </c>
      <c r="S1422" s="4" t="str">
        <f t="shared" si="73"/>
        <v>河南省</v>
      </c>
    </row>
    <row r="1423" spans="14:19">
      <c r="N1423" s="4">
        <v>1422</v>
      </c>
      <c r="O1423" s="4" t="s">
        <v>2294</v>
      </c>
      <c r="P1423" s="4">
        <v>157</v>
      </c>
      <c r="Q1423" s="4" t="str">
        <f t="shared" si="74"/>
        <v>鹤壁市</v>
      </c>
      <c r="R1423" s="4">
        <f t="shared" si="72"/>
        <v>16</v>
      </c>
      <c r="S1423" s="4" t="str">
        <f t="shared" si="73"/>
        <v>河南省</v>
      </c>
    </row>
    <row r="1424" spans="14:19">
      <c r="N1424" s="4">
        <v>1423</v>
      </c>
      <c r="O1424" s="4" t="s">
        <v>2295</v>
      </c>
      <c r="P1424" s="4">
        <v>157</v>
      </c>
      <c r="Q1424" s="4" t="str">
        <f t="shared" si="74"/>
        <v>鹤壁市</v>
      </c>
      <c r="R1424" s="4">
        <f t="shared" si="72"/>
        <v>16</v>
      </c>
      <c r="S1424" s="4" t="str">
        <f t="shared" si="73"/>
        <v>河南省</v>
      </c>
    </row>
    <row r="1425" spans="14:19">
      <c r="N1425" s="4">
        <v>1424</v>
      </c>
      <c r="O1425" s="4" t="s">
        <v>2296</v>
      </c>
      <c r="P1425" s="4">
        <v>158</v>
      </c>
      <c r="Q1425" s="4" t="str">
        <f t="shared" si="74"/>
        <v>新乡市</v>
      </c>
      <c r="R1425" s="4">
        <f t="shared" si="72"/>
        <v>16</v>
      </c>
      <c r="S1425" s="4" t="str">
        <f t="shared" si="73"/>
        <v>河南省</v>
      </c>
    </row>
    <row r="1426" spans="14:19">
      <c r="N1426" s="4">
        <v>1425</v>
      </c>
      <c r="O1426" s="4" t="s">
        <v>2297</v>
      </c>
      <c r="P1426" s="4">
        <v>158</v>
      </c>
      <c r="Q1426" s="4" t="str">
        <f t="shared" si="74"/>
        <v>新乡市</v>
      </c>
      <c r="R1426" s="4">
        <f t="shared" si="72"/>
        <v>16</v>
      </c>
      <c r="S1426" s="4" t="str">
        <f t="shared" si="73"/>
        <v>河南省</v>
      </c>
    </row>
    <row r="1427" spans="14:19">
      <c r="N1427" s="4">
        <v>1426</v>
      </c>
      <c r="O1427" s="4" t="s">
        <v>2298</v>
      </c>
      <c r="P1427" s="4">
        <v>158</v>
      </c>
      <c r="Q1427" s="4" t="str">
        <f t="shared" si="74"/>
        <v>新乡市</v>
      </c>
      <c r="R1427" s="4">
        <f t="shared" si="72"/>
        <v>16</v>
      </c>
      <c r="S1427" s="4" t="str">
        <f t="shared" si="73"/>
        <v>河南省</v>
      </c>
    </row>
    <row r="1428" spans="14:19">
      <c r="N1428" s="4">
        <v>1427</v>
      </c>
      <c r="O1428" s="4" t="s">
        <v>2299</v>
      </c>
      <c r="P1428" s="4">
        <v>158</v>
      </c>
      <c r="Q1428" s="4" t="str">
        <f t="shared" si="74"/>
        <v>新乡市</v>
      </c>
      <c r="R1428" s="4">
        <f t="shared" si="72"/>
        <v>16</v>
      </c>
      <c r="S1428" s="4" t="str">
        <f t="shared" si="73"/>
        <v>河南省</v>
      </c>
    </row>
    <row r="1429" spans="14:19">
      <c r="N1429" s="4">
        <v>1428</v>
      </c>
      <c r="O1429" s="4" t="s">
        <v>2300</v>
      </c>
      <c r="P1429" s="4">
        <v>158</v>
      </c>
      <c r="Q1429" s="4" t="str">
        <f t="shared" si="74"/>
        <v>新乡市</v>
      </c>
      <c r="R1429" s="4">
        <f t="shared" si="72"/>
        <v>16</v>
      </c>
      <c r="S1429" s="4" t="str">
        <f t="shared" si="73"/>
        <v>河南省</v>
      </c>
    </row>
    <row r="1430" spans="14:19">
      <c r="N1430" s="4">
        <v>1429</v>
      </c>
      <c r="O1430" s="4" t="s">
        <v>2301</v>
      </c>
      <c r="P1430" s="4">
        <v>158</v>
      </c>
      <c r="Q1430" s="4" t="str">
        <f t="shared" si="74"/>
        <v>新乡市</v>
      </c>
      <c r="R1430" s="4">
        <f t="shared" si="72"/>
        <v>16</v>
      </c>
      <c r="S1430" s="4" t="str">
        <f t="shared" si="73"/>
        <v>河南省</v>
      </c>
    </row>
    <row r="1431" spans="14:19">
      <c r="N1431" s="4">
        <v>1430</v>
      </c>
      <c r="O1431" s="4" t="s">
        <v>2302</v>
      </c>
      <c r="P1431" s="4">
        <v>158</v>
      </c>
      <c r="Q1431" s="4" t="str">
        <f t="shared" si="74"/>
        <v>新乡市</v>
      </c>
      <c r="R1431" s="4">
        <f t="shared" si="72"/>
        <v>16</v>
      </c>
      <c r="S1431" s="4" t="str">
        <f t="shared" si="73"/>
        <v>河南省</v>
      </c>
    </row>
    <row r="1432" spans="14:19">
      <c r="N1432" s="4">
        <v>1431</v>
      </c>
      <c r="O1432" s="4" t="s">
        <v>2303</v>
      </c>
      <c r="P1432" s="4">
        <v>158</v>
      </c>
      <c r="Q1432" s="4" t="str">
        <f t="shared" si="74"/>
        <v>新乡市</v>
      </c>
      <c r="R1432" s="4">
        <f t="shared" si="72"/>
        <v>16</v>
      </c>
      <c r="S1432" s="4" t="str">
        <f t="shared" si="73"/>
        <v>河南省</v>
      </c>
    </row>
    <row r="1433" spans="14:19">
      <c r="N1433" s="4">
        <v>1432</v>
      </c>
      <c r="O1433" s="4" t="s">
        <v>2304</v>
      </c>
      <c r="P1433" s="4">
        <v>158</v>
      </c>
      <c r="Q1433" s="4" t="str">
        <f t="shared" si="74"/>
        <v>新乡市</v>
      </c>
      <c r="R1433" s="4">
        <f t="shared" si="72"/>
        <v>16</v>
      </c>
      <c r="S1433" s="4" t="str">
        <f t="shared" si="73"/>
        <v>河南省</v>
      </c>
    </row>
    <row r="1434" spans="14:19">
      <c r="N1434" s="4">
        <v>1433</v>
      </c>
      <c r="O1434" s="4" t="s">
        <v>2305</v>
      </c>
      <c r="P1434" s="4">
        <v>158</v>
      </c>
      <c r="Q1434" s="4" t="str">
        <f t="shared" si="74"/>
        <v>新乡市</v>
      </c>
      <c r="R1434" s="4">
        <f t="shared" si="72"/>
        <v>16</v>
      </c>
      <c r="S1434" s="4" t="str">
        <f t="shared" si="73"/>
        <v>河南省</v>
      </c>
    </row>
    <row r="1435" spans="14:19">
      <c r="N1435" s="4">
        <v>1434</v>
      </c>
      <c r="O1435" s="4" t="s">
        <v>2306</v>
      </c>
      <c r="P1435" s="4">
        <v>158</v>
      </c>
      <c r="Q1435" s="4" t="str">
        <f t="shared" si="74"/>
        <v>新乡市</v>
      </c>
      <c r="R1435" s="4">
        <f t="shared" si="72"/>
        <v>16</v>
      </c>
      <c r="S1435" s="4" t="str">
        <f t="shared" si="73"/>
        <v>河南省</v>
      </c>
    </row>
    <row r="1436" spans="14:19">
      <c r="N1436" s="4">
        <v>1435</v>
      </c>
      <c r="O1436" s="4" t="s">
        <v>2307</v>
      </c>
      <c r="P1436" s="4">
        <v>158</v>
      </c>
      <c r="Q1436" s="4" t="str">
        <f t="shared" si="74"/>
        <v>新乡市</v>
      </c>
      <c r="R1436" s="4">
        <f t="shared" si="72"/>
        <v>16</v>
      </c>
      <c r="S1436" s="4" t="str">
        <f t="shared" si="73"/>
        <v>河南省</v>
      </c>
    </row>
    <row r="1437" spans="14:19">
      <c r="N1437" s="4">
        <v>1436</v>
      </c>
      <c r="O1437" s="4" t="s">
        <v>2308</v>
      </c>
      <c r="P1437" s="4">
        <v>159</v>
      </c>
      <c r="Q1437" s="4" t="str">
        <f t="shared" si="74"/>
        <v>焦作市</v>
      </c>
      <c r="R1437" s="4">
        <f t="shared" si="72"/>
        <v>16</v>
      </c>
      <c r="S1437" s="4" t="str">
        <f t="shared" si="73"/>
        <v>河南省</v>
      </c>
    </row>
    <row r="1438" spans="14:19">
      <c r="N1438" s="4">
        <v>1437</v>
      </c>
      <c r="O1438" s="4" t="s">
        <v>2309</v>
      </c>
      <c r="P1438" s="4">
        <v>159</v>
      </c>
      <c r="Q1438" s="4" t="str">
        <f t="shared" si="74"/>
        <v>焦作市</v>
      </c>
      <c r="R1438" s="4">
        <f t="shared" si="72"/>
        <v>16</v>
      </c>
      <c r="S1438" s="4" t="str">
        <f t="shared" si="73"/>
        <v>河南省</v>
      </c>
    </row>
    <row r="1439" spans="14:19">
      <c r="N1439" s="4">
        <v>1438</v>
      </c>
      <c r="O1439" s="4" t="s">
        <v>2310</v>
      </c>
      <c r="P1439" s="4">
        <v>159</v>
      </c>
      <c r="Q1439" s="4" t="str">
        <f t="shared" si="74"/>
        <v>焦作市</v>
      </c>
      <c r="R1439" s="4">
        <f t="shared" si="72"/>
        <v>16</v>
      </c>
      <c r="S1439" s="4" t="str">
        <f t="shared" si="73"/>
        <v>河南省</v>
      </c>
    </row>
    <row r="1440" spans="14:19">
      <c r="N1440" s="4">
        <v>1439</v>
      </c>
      <c r="O1440" s="4" t="s">
        <v>2311</v>
      </c>
      <c r="P1440" s="4">
        <v>159</v>
      </c>
      <c r="Q1440" s="4" t="str">
        <f t="shared" si="74"/>
        <v>焦作市</v>
      </c>
      <c r="R1440" s="4">
        <f t="shared" si="72"/>
        <v>16</v>
      </c>
      <c r="S1440" s="4" t="str">
        <f t="shared" si="73"/>
        <v>河南省</v>
      </c>
    </row>
    <row r="1441" spans="14:19">
      <c r="N1441" s="4">
        <v>1440</v>
      </c>
      <c r="O1441" s="4" t="s">
        <v>2312</v>
      </c>
      <c r="P1441" s="4">
        <v>159</v>
      </c>
      <c r="Q1441" s="4" t="str">
        <f t="shared" si="74"/>
        <v>焦作市</v>
      </c>
      <c r="R1441" s="4">
        <f t="shared" si="72"/>
        <v>16</v>
      </c>
      <c r="S1441" s="4" t="str">
        <f t="shared" si="73"/>
        <v>河南省</v>
      </c>
    </row>
    <row r="1442" spans="14:19">
      <c r="N1442" s="4">
        <v>1441</v>
      </c>
      <c r="O1442" s="4" t="s">
        <v>2313</v>
      </c>
      <c r="P1442" s="4">
        <v>159</v>
      </c>
      <c r="Q1442" s="4" t="str">
        <f t="shared" si="74"/>
        <v>焦作市</v>
      </c>
      <c r="R1442" s="4">
        <f t="shared" si="72"/>
        <v>16</v>
      </c>
      <c r="S1442" s="4" t="str">
        <f t="shared" si="73"/>
        <v>河南省</v>
      </c>
    </row>
    <row r="1443" spans="14:19">
      <c r="N1443" s="4">
        <v>1442</v>
      </c>
      <c r="O1443" s="4" t="s">
        <v>2314</v>
      </c>
      <c r="P1443" s="4">
        <v>159</v>
      </c>
      <c r="Q1443" s="4" t="str">
        <f t="shared" si="74"/>
        <v>焦作市</v>
      </c>
      <c r="R1443" s="4">
        <f t="shared" si="72"/>
        <v>16</v>
      </c>
      <c r="S1443" s="4" t="str">
        <f t="shared" si="73"/>
        <v>河南省</v>
      </c>
    </row>
    <row r="1444" spans="14:19">
      <c r="N1444" s="4">
        <v>1443</v>
      </c>
      <c r="O1444" s="4" t="s">
        <v>2315</v>
      </c>
      <c r="P1444" s="4">
        <v>159</v>
      </c>
      <c r="Q1444" s="4" t="str">
        <f t="shared" si="74"/>
        <v>焦作市</v>
      </c>
      <c r="R1444" s="4">
        <f t="shared" si="72"/>
        <v>16</v>
      </c>
      <c r="S1444" s="4" t="str">
        <f t="shared" si="73"/>
        <v>河南省</v>
      </c>
    </row>
    <row r="1445" spans="14:19">
      <c r="N1445" s="4">
        <v>1444</v>
      </c>
      <c r="O1445" s="4" t="s">
        <v>2316</v>
      </c>
      <c r="P1445" s="4">
        <v>159</v>
      </c>
      <c r="Q1445" s="4" t="str">
        <f t="shared" si="74"/>
        <v>焦作市</v>
      </c>
      <c r="R1445" s="4">
        <f t="shared" si="72"/>
        <v>16</v>
      </c>
      <c r="S1445" s="4" t="str">
        <f t="shared" si="73"/>
        <v>河南省</v>
      </c>
    </row>
    <row r="1446" spans="14:19">
      <c r="N1446" s="4">
        <v>1445</v>
      </c>
      <c r="O1446" s="4" t="s">
        <v>2317</v>
      </c>
      <c r="P1446" s="4">
        <v>159</v>
      </c>
      <c r="Q1446" s="4" t="str">
        <f t="shared" si="74"/>
        <v>焦作市</v>
      </c>
      <c r="R1446" s="4">
        <f t="shared" si="72"/>
        <v>16</v>
      </c>
      <c r="S1446" s="4" t="str">
        <f t="shared" si="73"/>
        <v>河南省</v>
      </c>
    </row>
    <row r="1447" spans="14:19">
      <c r="N1447" s="4">
        <v>1446</v>
      </c>
      <c r="O1447" s="4" t="s">
        <v>2318</v>
      </c>
      <c r="P1447" s="4">
        <v>159</v>
      </c>
      <c r="Q1447" s="4" t="str">
        <f t="shared" si="74"/>
        <v>焦作市</v>
      </c>
      <c r="R1447" s="4">
        <f t="shared" si="72"/>
        <v>16</v>
      </c>
      <c r="S1447" s="4" t="str">
        <f t="shared" si="73"/>
        <v>河南省</v>
      </c>
    </row>
    <row r="1448" spans="14:19">
      <c r="N1448" s="4">
        <v>1447</v>
      </c>
      <c r="O1448" s="4" t="s">
        <v>2319</v>
      </c>
      <c r="P1448" s="4">
        <v>160</v>
      </c>
      <c r="Q1448" s="4" t="str">
        <f t="shared" si="74"/>
        <v>濮阳市</v>
      </c>
      <c r="R1448" s="4">
        <f t="shared" si="72"/>
        <v>16</v>
      </c>
      <c r="S1448" s="4" t="str">
        <f t="shared" si="73"/>
        <v>河南省</v>
      </c>
    </row>
    <row r="1449" spans="14:19">
      <c r="N1449" s="4">
        <v>1448</v>
      </c>
      <c r="O1449" s="4" t="s">
        <v>2320</v>
      </c>
      <c r="P1449" s="4">
        <v>160</v>
      </c>
      <c r="Q1449" s="4" t="str">
        <f t="shared" si="74"/>
        <v>濮阳市</v>
      </c>
      <c r="R1449" s="4">
        <f t="shared" si="72"/>
        <v>16</v>
      </c>
      <c r="S1449" s="4" t="str">
        <f t="shared" si="73"/>
        <v>河南省</v>
      </c>
    </row>
    <row r="1450" spans="14:19">
      <c r="N1450" s="4">
        <v>1449</v>
      </c>
      <c r="O1450" s="4" t="s">
        <v>2321</v>
      </c>
      <c r="P1450" s="4">
        <v>160</v>
      </c>
      <c r="Q1450" s="4" t="str">
        <f t="shared" si="74"/>
        <v>濮阳市</v>
      </c>
      <c r="R1450" s="4">
        <f t="shared" si="72"/>
        <v>16</v>
      </c>
      <c r="S1450" s="4" t="str">
        <f t="shared" si="73"/>
        <v>河南省</v>
      </c>
    </row>
    <row r="1451" spans="14:19">
      <c r="N1451" s="4">
        <v>1450</v>
      </c>
      <c r="O1451" s="4" t="s">
        <v>2322</v>
      </c>
      <c r="P1451" s="4">
        <v>160</v>
      </c>
      <c r="Q1451" s="4" t="str">
        <f t="shared" si="74"/>
        <v>濮阳市</v>
      </c>
      <c r="R1451" s="4">
        <f t="shared" si="72"/>
        <v>16</v>
      </c>
      <c r="S1451" s="4" t="str">
        <f t="shared" si="73"/>
        <v>河南省</v>
      </c>
    </row>
    <row r="1452" spans="14:19">
      <c r="N1452" s="4">
        <v>1451</v>
      </c>
      <c r="O1452" s="4" t="s">
        <v>2323</v>
      </c>
      <c r="P1452" s="4">
        <v>160</v>
      </c>
      <c r="Q1452" s="4" t="str">
        <f t="shared" si="74"/>
        <v>濮阳市</v>
      </c>
      <c r="R1452" s="4">
        <f t="shared" si="72"/>
        <v>16</v>
      </c>
      <c r="S1452" s="4" t="str">
        <f t="shared" si="73"/>
        <v>河南省</v>
      </c>
    </row>
    <row r="1453" spans="14:19">
      <c r="N1453" s="4">
        <v>1452</v>
      </c>
      <c r="O1453" s="4" t="s">
        <v>2324</v>
      </c>
      <c r="P1453" s="4">
        <v>160</v>
      </c>
      <c r="Q1453" s="4" t="str">
        <f t="shared" si="74"/>
        <v>濮阳市</v>
      </c>
      <c r="R1453" s="4">
        <f t="shared" si="72"/>
        <v>16</v>
      </c>
      <c r="S1453" s="4" t="str">
        <f t="shared" si="73"/>
        <v>河南省</v>
      </c>
    </row>
    <row r="1454" spans="14:19">
      <c r="N1454" s="4">
        <v>1453</v>
      </c>
      <c r="O1454" s="4" t="s">
        <v>2325</v>
      </c>
      <c r="P1454" s="4">
        <v>161</v>
      </c>
      <c r="Q1454" s="4" t="str">
        <f t="shared" si="74"/>
        <v>许昌市</v>
      </c>
      <c r="R1454" s="4">
        <f t="shared" si="72"/>
        <v>16</v>
      </c>
      <c r="S1454" s="4" t="str">
        <f t="shared" si="73"/>
        <v>河南省</v>
      </c>
    </row>
    <row r="1455" spans="14:19">
      <c r="N1455" s="4">
        <v>1454</v>
      </c>
      <c r="O1455" s="4" t="s">
        <v>2326</v>
      </c>
      <c r="P1455" s="4">
        <v>161</v>
      </c>
      <c r="Q1455" s="4" t="str">
        <f t="shared" si="74"/>
        <v>许昌市</v>
      </c>
      <c r="R1455" s="4">
        <f t="shared" si="72"/>
        <v>16</v>
      </c>
      <c r="S1455" s="4" t="str">
        <f t="shared" si="73"/>
        <v>河南省</v>
      </c>
    </row>
    <row r="1456" spans="14:19">
      <c r="N1456" s="4">
        <v>1455</v>
      </c>
      <c r="O1456" s="4" t="s">
        <v>2327</v>
      </c>
      <c r="P1456" s="4">
        <v>161</v>
      </c>
      <c r="Q1456" s="4" t="str">
        <f t="shared" si="74"/>
        <v>许昌市</v>
      </c>
      <c r="R1456" s="4">
        <f t="shared" si="72"/>
        <v>16</v>
      </c>
      <c r="S1456" s="4" t="str">
        <f t="shared" si="73"/>
        <v>河南省</v>
      </c>
    </row>
    <row r="1457" spans="14:19">
      <c r="N1457" s="4">
        <v>1456</v>
      </c>
      <c r="O1457" s="4" t="s">
        <v>2328</v>
      </c>
      <c r="P1457" s="4">
        <v>161</v>
      </c>
      <c r="Q1457" s="4" t="str">
        <f t="shared" si="74"/>
        <v>许昌市</v>
      </c>
      <c r="R1457" s="4">
        <f t="shared" si="72"/>
        <v>16</v>
      </c>
      <c r="S1457" s="4" t="str">
        <f t="shared" si="73"/>
        <v>河南省</v>
      </c>
    </row>
    <row r="1458" spans="14:19">
      <c r="N1458" s="4">
        <v>1457</v>
      </c>
      <c r="O1458" s="4" t="s">
        <v>2329</v>
      </c>
      <c r="P1458" s="4">
        <v>161</v>
      </c>
      <c r="Q1458" s="4" t="str">
        <f t="shared" si="74"/>
        <v>许昌市</v>
      </c>
      <c r="R1458" s="4">
        <f t="shared" si="72"/>
        <v>16</v>
      </c>
      <c r="S1458" s="4" t="str">
        <f t="shared" si="73"/>
        <v>河南省</v>
      </c>
    </row>
    <row r="1459" spans="14:19">
      <c r="N1459" s="4">
        <v>1458</v>
      </c>
      <c r="O1459" s="4" t="s">
        <v>2330</v>
      </c>
      <c r="P1459" s="4">
        <v>161</v>
      </c>
      <c r="Q1459" s="4" t="str">
        <f t="shared" si="74"/>
        <v>许昌市</v>
      </c>
      <c r="R1459" s="4">
        <f t="shared" si="72"/>
        <v>16</v>
      </c>
      <c r="S1459" s="4" t="str">
        <f t="shared" si="73"/>
        <v>河南省</v>
      </c>
    </row>
    <row r="1460" spans="14:19">
      <c r="N1460" s="4">
        <v>1459</v>
      </c>
      <c r="O1460" s="4" t="s">
        <v>2331</v>
      </c>
      <c r="P1460" s="4">
        <v>162</v>
      </c>
      <c r="Q1460" s="4" t="str">
        <f t="shared" si="74"/>
        <v>漯河市</v>
      </c>
      <c r="R1460" s="4">
        <f t="shared" si="72"/>
        <v>16</v>
      </c>
      <c r="S1460" s="4" t="str">
        <f t="shared" si="73"/>
        <v>河南省</v>
      </c>
    </row>
    <row r="1461" spans="14:19">
      <c r="N1461" s="4">
        <v>1460</v>
      </c>
      <c r="O1461" s="4" t="s">
        <v>2332</v>
      </c>
      <c r="P1461" s="4">
        <v>162</v>
      </c>
      <c r="Q1461" s="4" t="str">
        <f t="shared" si="74"/>
        <v>漯河市</v>
      </c>
      <c r="R1461" s="4">
        <f t="shared" si="72"/>
        <v>16</v>
      </c>
      <c r="S1461" s="4" t="str">
        <f t="shared" si="73"/>
        <v>河南省</v>
      </c>
    </row>
    <row r="1462" spans="14:19">
      <c r="N1462" s="4">
        <v>1461</v>
      </c>
      <c r="O1462" s="4" t="s">
        <v>2333</v>
      </c>
      <c r="P1462" s="4">
        <v>162</v>
      </c>
      <c r="Q1462" s="4" t="str">
        <f t="shared" si="74"/>
        <v>漯河市</v>
      </c>
      <c r="R1462" s="4">
        <f t="shared" si="72"/>
        <v>16</v>
      </c>
      <c r="S1462" s="4" t="str">
        <f t="shared" si="73"/>
        <v>河南省</v>
      </c>
    </row>
    <row r="1463" spans="14:19">
      <c r="N1463" s="4">
        <v>1462</v>
      </c>
      <c r="O1463" s="4" t="s">
        <v>2334</v>
      </c>
      <c r="P1463" s="4">
        <v>162</v>
      </c>
      <c r="Q1463" s="4" t="str">
        <f t="shared" si="74"/>
        <v>漯河市</v>
      </c>
      <c r="R1463" s="4">
        <f t="shared" si="72"/>
        <v>16</v>
      </c>
      <c r="S1463" s="4" t="str">
        <f t="shared" si="73"/>
        <v>河南省</v>
      </c>
    </row>
    <row r="1464" spans="14:19">
      <c r="N1464" s="4">
        <v>1463</v>
      </c>
      <c r="O1464" s="4" t="s">
        <v>2335</v>
      </c>
      <c r="P1464" s="4">
        <v>162</v>
      </c>
      <c r="Q1464" s="4" t="str">
        <f t="shared" si="74"/>
        <v>漯河市</v>
      </c>
      <c r="R1464" s="4">
        <f t="shared" si="72"/>
        <v>16</v>
      </c>
      <c r="S1464" s="4" t="str">
        <f t="shared" si="73"/>
        <v>河南省</v>
      </c>
    </row>
    <row r="1465" spans="14:19">
      <c r="N1465" s="4">
        <v>1464</v>
      </c>
      <c r="O1465" s="4" t="s">
        <v>2336</v>
      </c>
      <c r="P1465" s="4">
        <v>163</v>
      </c>
      <c r="Q1465" s="4" t="str">
        <f t="shared" si="74"/>
        <v>三门峡市</v>
      </c>
      <c r="R1465" s="4">
        <f t="shared" si="72"/>
        <v>16</v>
      </c>
      <c r="S1465" s="4" t="str">
        <f t="shared" si="73"/>
        <v>河南省</v>
      </c>
    </row>
    <row r="1466" spans="14:19">
      <c r="N1466" s="4">
        <v>1465</v>
      </c>
      <c r="O1466" s="4" t="s">
        <v>2337</v>
      </c>
      <c r="P1466" s="4">
        <v>163</v>
      </c>
      <c r="Q1466" s="4" t="str">
        <f t="shared" si="74"/>
        <v>三门峡市</v>
      </c>
      <c r="R1466" s="4">
        <f t="shared" si="72"/>
        <v>16</v>
      </c>
      <c r="S1466" s="4" t="str">
        <f t="shared" si="73"/>
        <v>河南省</v>
      </c>
    </row>
    <row r="1467" spans="14:19">
      <c r="N1467" s="4">
        <v>1466</v>
      </c>
      <c r="O1467" s="4" t="s">
        <v>2338</v>
      </c>
      <c r="P1467" s="4">
        <v>163</v>
      </c>
      <c r="Q1467" s="4" t="str">
        <f t="shared" si="74"/>
        <v>三门峡市</v>
      </c>
      <c r="R1467" s="4">
        <f t="shared" si="72"/>
        <v>16</v>
      </c>
      <c r="S1467" s="4" t="str">
        <f t="shared" si="73"/>
        <v>河南省</v>
      </c>
    </row>
    <row r="1468" spans="14:19">
      <c r="N1468" s="4">
        <v>1467</v>
      </c>
      <c r="O1468" s="4" t="s">
        <v>2339</v>
      </c>
      <c r="P1468" s="4">
        <v>163</v>
      </c>
      <c r="Q1468" s="4" t="str">
        <f t="shared" si="74"/>
        <v>三门峡市</v>
      </c>
      <c r="R1468" s="4">
        <f t="shared" si="72"/>
        <v>16</v>
      </c>
      <c r="S1468" s="4" t="str">
        <f t="shared" si="73"/>
        <v>河南省</v>
      </c>
    </row>
    <row r="1469" spans="14:19">
      <c r="N1469" s="4">
        <v>1468</v>
      </c>
      <c r="O1469" s="4" t="s">
        <v>2340</v>
      </c>
      <c r="P1469" s="4">
        <v>163</v>
      </c>
      <c r="Q1469" s="4" t="str">
        <f t="shared" si="74"/>
        <v>三门峡市</v>
      </c>
      <c r="R1469" s="4">
        <f t="shared" si="72"/>
        <v>16</v>
      </c>
      <c r="S1469" s="4" t="str">
        <f t="shared" si="73"/>
        <v>河南省</v>
      </c>
    </row>
    <row r="1470" spans="14:19">
      <c r="N1470" s="4">
        <v>1469</v>
      </c>
      <c r="O1470" s="4" t="s">
        <v>2341</v>
      </c>
      <c r="P1470" s="4">
        <v>163</v>
      </c>
      <c r="Q1470" s="4" t="str">
        <f t="shared" si="74"/>
        <v>三门峡市</v>
      </c>
      <c r="R1470" s="4">
        <f t="shared" si="72"/>
        <v>16</v>
      </c>
      <c r="S1470" s="4" t="str">
        <f t="shared" si="73"/>
        <v>河南省</v>
      </c>
    </row>
    <row r="1471" spans="14:19">
      <c r="N1471" s="4">
        <v>1470</v>
      </c>
      <c r="O1471" s="4" t="s">
        <v>2342</v>
      </c>
      <c r="P1471" s="4">
        <v>163</v>
      </c>
      <c r="Q1471" s="4" t="str">
        <f t="shared" si="74"/>
        <v>三门峡市</v>
      </c>
      <c r="R1471" s="4">
        <f t="shared" si="72"/>
        <v>16</v>
      </c>
      <c r="S1471" s="4" t="str">
        <f t="shared" si="73"/>
        <v>河南省</v>
      </c>
    </row>
    <row r="1472" spans="14:19">
      <c r="N1472" s="4">
        <v>1471</v>
      </c>
      <c r="O1472" s="4" t="s">
        <v>2343</v>
      </c>
      <c r="P1472" s="4">
        <v>164</v>
      </c>
      <c r="Q1472" s="4" t="str">
        <f t="shared" si="74"/>
        <v>南阳市</v>
      </c>
      <c r="R1472" s="4">
        <f t="shared" si="72"/>
        <v>16</v>
      </c>
      <c r="S1472" s="4" t="str">
        <f t="shared" si="73"/>
        <v>河南省</v>
      </c>
    </row>
    <row r="1473" spans="14:19">
      <c r="N1473" s="4">
        <v>1472</v>
      </c>
      <c r="O1473" s="4" t="s">
        <v>2344</v>
      </c>
      <c r="P1473" s="4">
        <v>164</v>
      </c>
      <c r="Q1473" s="4" t="str">
        <f t="shared" si="74"/>
        <v>南阳市</v>
      </c>
      <c r="R1473" s="4">
        <f t="shared" si="72"/>
        <v>16</v>
      </c>
      <c r="S1473" s="4" t="str">
        <f t="shared" si="73"/>
        <v>河南省</v>
      </c>
    </row>
    <row r="1474" spans="14:19">
      <c r="N1474" s="4">
        <v>1473</v>
      </c>
      <c r="O1474" s="4" t="s">
        <v>2345</v>
      </c>
      <c r="P1474" s="4">
        <v>164</v>
      </c>
      <c r="Q1474" s="4" t="str">
        <f t="shared" si="74"/>
        <v>南阳市</v>
      </c>
      <c r="R1474" s="4">
        <f t="shared" ref="R1474:R1537" si="75">VLOOKUP(P1474,$I$2:$M$346,3,FALSE)</f>
        <v>16</v>
      </c>
      <c r="S1474" s="4" t="str">
        <f t="shared" ref="S1474:S1537" si="76">VLOOKUP(P1474,$I$2:$M$346,4,FALSE)</f>
        <v>河南省</v>
      </c>
    </row>
    <row r="1475" spans="14:19">
      <c r="N1475" s="4">
        <v>1474</v>
      </c>
      <c r="O1475" s="4" t="s">
        <v>2346</v>
      </c>
      <c r="P1475" s="4">
        <v>164</v>
      </c>
      <c r="Q1475" s="4" t="str">
        <f t="shared" ref="Q1475:Q1538" si="77">VLOOKUP(P1475,$I$2:$J$346,2,FALSE)</f>
        <v>南阳市</v>
      </c>
      <c r="R1475" s="4">
        <f t="shared" si="75"/>
        <v>16</v>
      </c>
      <c r="S1475" s="4" t="str">
        <f t="shared" si="76"/>
        <v>河南省</v>
      </c>
    </row>
    <row r="1476" spans="14:19">
      <c r="N1476" s="4">
        <v>1475</v>
      </c>
      <c r="O1476" s="4" t="s">
        <v>2347</v>
      </c>
      <c r="P1476" s="4">
        <v>164</v>
      </c>
      <c r="Q1476" s="4" t="str">
        <f t="shared" si="77"/>
        <v>南阳市</v>
      </c>
      <c r="R1476" s="4">
        <f t="shared" si="75"/>
        <v>16</v>
      </c>
      <c r="S1476" s="4" t="str">
        <f t="shared" si="76"/>
        <v>河南省</v>
      </c>
    </row>
    <row r="1477" spans="14:19">
      <c r="N1477" s="4">
        <v>1476</v>
      </c>
      <c r="O1477" s="4" t="s">
        <v>2348</v>
      </c>
      <c r="P1477" s="4">
        <v>164</v>
      </c>
      <c r="Q1477" s="4" t="str">
        <f t="shared" si="77"/>
        <v>南阳市</v>
      </c>
      <c r="R1477" s="4">
        <f t="shared" si="75"/>
        <v>16</v>
      </c>
      <c r="S1477" s="4" t="str">
        <f t="shared" si="76"/>
        <v>河南省</v>
      </c>
    </row>
    <row r="1478" spans="14:19">
      <c r="N1478" s="4">
        <v>1477</v>
      </c>
      <c r="O1478" s="4" t="s">
        <v>2349</v>
      </c>
      <c r="P1478" s="4">
        <v>164</v>
      </c>
      <c r="Q1478" s="4" t="str">
        <f t="shared" si="77"/>
        <v>南阳市</v>
      </c>
      <c r="R1478" s="4">
        <f t="shared" si="75"/>
        <v>16</v>
      </c>
      <c r="S1478" s="4" t="str">
        <f t="shared" si="76"/>
        <v>河南省</v>
      </c>
    </row>
    <row r="1479" spans="14:19">
      <c r="N1479" s="4">
        <v>1478</v>
      </c>
      <c r="O1479" s="4" t="s">
        <v>2350</v>
      </c>
      <c r="P1479" s="4">
        <v>164</v>
      </c>
      <c r="Q1479" s="4" t="str">
        <f t="shared" si="77"/>
        <v>南阳市</v>
      </c>
      <c r="R1479" s="4">
        <f t="shared" si="75"/>
        <v>16</v>
      </c>
      <c r="S1479" s="4" t="str">
        <f t="shared" si="76"/>
        <v>河南省</v>
      </c>
    </row>
    <row r="1480" spans="14:19">
      <c r="N1480" s="4">
        <v>1479</v>
      </c>
      <c r="O1480" s="4" t="s">
        <v>2351</v>
      </c>
      <c r="P1480" s="4">
        <v>164</v>
      </c>
      <c r="Q1480" s="4" t="str">
        <f t="shared" si="77"/>
        <v>南阳市</v>
      </c>
      <c r="R1480" s="4">
        <f t="shared" si="75"/>
        <v>16</v>
      </c>
      <c r="S1480" s="4" t="str">
        <f t="shared" si="76"/>
        <v>河南省</v>
      </c>
    </row>
    <row r="1481" spans="14:19">
      <c r="N1481" s="4">
        <v>1480</v>
      </c>
      <c r="O1481" s="4" t="s">
        <v>2352</v>
      </c>
      <c r="P1481" s="4">
        <v>164</v>
      </c>
      <c r="Q1481" s="4" t="str">
        <f t="shared" si="77"/>
        <v>南阳市</v>
      </c>
      <c r="R1481" s="4">
        <f t="shared" si="75"/>
        <v>16</v>
      </c>
      <c r="S1481" s="4" t="str">
        <f t="shared" si="76"/>
        <v>河南省</v>
      </c>
    </row>
    <row r="1482" spans="14:19">
      <c r="N1482" s="4">
        <v>1481</v>
      </c>
      <c r="O1482" s="4" t="s">
        <v>2353</v>
      </c>
      <c r="P1482" s="4">
        <v>164</v>
      </c>
      <c r="Q1482" s="4" t="str">
        <f t="shared" si="77"/>
        <v>南阳市</v>
      </c>
      <c r="R1482" s="4">
        <f t="shared" si="75"/>
        <v>16</v>
      </c>
      <c r="S1482" s="4" t="str">
        <f t="shared" si="76"/>
        <v>河南省</v>
      </c>
    </row>
    <row r="1483" spans="14:19">
      <c r="N1483" s="4">
        <v>1482</v>
      </c>
      <c r="O1483" s="4" t="s">
        <v>2354</v>
      </c>
      <c r="P1483" s="4">
        <v>164</v>
      </c>
      <c r="Q1483" s="4" t="str">
        <f t="shared" si="77"/>
        <v>南阳市</v>
      </c>
      <c r="R1483" s="4">
        <f t="shared" si="75"/>
        <v>16</v>
      </c>
      <c r="S1483" s="4" t="str">
        <f t="shared" si="76"/>
        <v>河南省</v>
      </c>
    </row>
    <row r="1484" spans="14:19">
      <c r="N1484" s="4">
        <v>1483</v>
      </c>
      <c r="O1484" s="4" t="s">
        <v>2355</v>
      </c>
      <c r="P1484" s="4">
        <v>164</v>
      </c>
      <c r="Q1484" s="4" t="str">
        <f t="shared" si="77"/>
        <v>南阳市</v>
      </c>
      <c r="R1484" s="4">
        <f t="shared" si="75"/>
        <v>16</v>
      </c>
      <c r="S1484" s="4" t="str">
        <f t="shared" si="76"/>
        <v>河南省</v>
      </c>
    </row>
    <row r="1485" spans="14:19">
      <c r="N1485" s="4">
        <v>1484</v>
      </c>
      <c r="O1485" s="4" t="s">
        <v>2356</v>
      </c>
      <c r="P1485" s="4">
        <v>165</v>
      </c>
      <c r="Q1485" s="4" t="str">
        <f t="shared" si="77"/>
        <v>商丘市</v>
      </c>
      <c r="R1485" s="4">
        <f t="shared" si="75"/>
        <v>16</v>
      </c>
      <c r="S1485" s="4" t="str">
        <f t="shared" si="76"/>
        <v>河南省</v>
      </c>
    </row>
    <row r="1486" spans="14:19">
      <c r="N1486" s="4">
        <v>1485</v>
      </c>
      <c r="O1486" s="4" t="s">
        <v>2357</v>
      </c>
      <c r="P1486" s="4">
        <v>165</v>
      </c>
      <c r="Q1486" s="4" t="str">
        <f t="shared" si="77"/>
        <v>商丘市</v>
      </c>
      <c r="R1486" s="4">
        <f t="shared" si="75"/>
        <v>16</v>
      </c>
      <c r="S1486" s="4" t="str">
        <f t="shared" si="76"/>
        <v>河南省</v>
      </c>
    </row>
    <row r="1487" spans="14:19">
      <c r="N1487" s="4">
        <v>1486</v>
      </c>
      <c r="O1487" s="4" t="s">
        <v>2358</v>
      </c>
      <c r="P1487" s="4">
        <v>165</v>
      </c>
      <c r="Q1487" s="4" t="str">
        <f t="shared" si="77"/>
        <v>商丘市</v>
      </c>
      <c r="R1487" s="4">
        <f t="shared" si="75"/>
        <v>16</v>
      </c>
      <c r="S1487" s="4" t="str">
        <f t="shared" si="76"/>
        <v>河南省</v>
      </c>
    </row>
    <row r="1488" spans="14:19">
      <c r="N1488" s="4">
        <v>1487</v>
      </c>
      <c r="O1488" s="4" t="s">
        <v>2359</v>
      </c>
      <c r="P1488" s="4">
        <v>165</v>
      </c>
      <c r="Q1488" s="4" t="str">
        <f t="shared" si="77"/>
        <v>商丘市</v>
      </c>
      <c r="R1488" s="4">
        <f t="shared" si="75"/>
        <v>16</v>
      </c>
      <c r="S1488" s="4" t="str">
        <f t="shared" si="76"/>
        <v>河南省</v>
      </c>
    </row>
    <row r="1489" spans="14:19">
      <c r="N1489" s="4">
        <v>1488</v>
      </c>
      <c r="O1489" s="4" t="s">
        <v>2360</v>
      </c>
      <c r="P1489" s="4">
        <v>165</v>
      </c>
      <c r="Q1489" s="4" t="str">
        <f t="shared" si="77"/>
        <v>商丘市</v>
      </c>
      <c r="R1489" s="4">
        <f t="shared" si="75"/>
        <v>16</v>
      </c>
      <c r="S1489" s="4" t="str">
        <f t="shared" si="76"/>
        <v>河南省</v>
      </c>
    </row>
    <row r="1490" spans="14:19">
      <c r="N1490" s="4">
        <v>1489</v>
      </c>
      <c r="O1490" s="4" t="s">
        <v>2361</v>
      </c>
      <c r="P1490" s="4">
        <v>165</v>
      </c>
      <c r="Q1490" s="4" t="str">
        <f t="shared" si="77"/>
        <v>商丘市</v>
      </c>
      <c r="R1490" s="4">
        <f t="shared" si="75"/>
        <v>16</v>
      </c>
      <c r="S1490" s="4" t="str">
        <f t="shared" si="76"/>
        <v>河南省</v>
      </c>
    </row>
    <row r="1491" spans="14:19">
      <c r="N1491" s="4">
        <v>1490</v>
      </c>
      <c r="O1491" s="4" t="s">
        <v>2362</v>
      </c>
      <c r="P1491" s="4">
        <v>165</v>
      </c>
      <c r="Q1491" s="4" t="str">
        <f t="shared" si="77"/>
        <v>商丘市</v>
      </c>
      <c r="R1491" s="4">
        <f t="shared" si="75"/>
        <v>16</v>
      </c>
      <c r="S1491" s="4" t="str">
        <f t="shared" si="76"/>
        <v>河南省</v>
      </c>
    </row>
    <row r="1492" spans="14:19">
      <c r="N1492" s="4">
        <v>1491</v>
      </c>
      <c r="O1492" s="4" t="s">
        <v>2363</v>
      </c>
      <c r="P1492" s="4">
        <v>165</v>
      </c>
      <c r="Q1492" s="4" t="str">
        <f t="shared" si="77"/>
        <v>商丘市</v>
      </c>
      <c r="R1492" s="4">
        <f t="shared" si="75"/>
        <v>16</v>
      </c>
      <c r="S1492" s="4" t="str">
        <f t="shared" si="76"/>
        <v>河南省</v>
      </c>
    </row>
    <row r="1493" spans="14:19">
      <c r="N1493" s="4">
        <v>1492</v>
      </c>
      <c r="O1493" s="4" t="s">
        <v>2364</v>
      </c>
      <c r="P1493" s="4">
        <v>165</v>
      </c>
      <c r="Q1493" s="4" t="str">
        <f t="shared" si="77"/>
        <v>商丘市</v>
      </c>
      <c r="R1493" s="4">
        <f t="shared" si="75"/>
        <v>16</v>
      </c>
      <c r="S1493" s="4" t="str">
        <f t="shared" si="76"/>
        <v>河南省</v>
      </c>
    </row>
    <row r="1494" spans="14:19">
      <c r="N1494" s="4">
        <v>1493</v>
      </c>
      <c r="O1494" s="4" t="s">
        <v>2365</v>
      </c>
      <c r="P1494" s="4">
        <v>166</v>
      </c>
      <c r="Q1494" s="4" t="str">
        <f t="shared" si="77"/>
        <v>信阳市</v>
      </c>
      <c r="R1494" s="4">
        <f t="shared" si="75"/>
        <v>16</v>
      </c>
      <c r="S1494" s="4" t="str">
        <f t="shared" si="76"/>
        <v>河南省</v>
      </c>
    </row>
    <row r="1495" spans="14:19">
      <c r="N1495" s="4">
        <v>1494</v>
      </c>
      <c r="O1495" s="4" t="s">
        <v>2366</v>
      </c>
      <c r="P1495" s="4">
        <v>166</v>
      </c>
      <c r="Q1495" s="4" t="str">
        <f t="shared" si="77"/>
        <v>信阳市</v>
      </c>
      <c r="R1495" s="4">
        <f t="shared" si="75"/>
        <v>16</v>
      </c>
      <c r="S1495" s="4" t="str">
        <f t="shared" si="76"/>
        <v>河南省</v>
      </c>
    </row>
    <row r="1496" spans="14:19">
      <c r="N1496" s="4">
        <v>1495</v>
      </c>
      <c r="O1496" s="4" t="s">
        <v>2367</v>
      </c>
      <c r="P1496" s="4">
        <v>166</v>
      </c>
      <c r="Q1496" s="4" t="str">
        <f t="shared" si="77"/>
        <v>信阳市</v>
      </c>
      <c r="R1496" s="4">
        <f t="shared" si="75"/>
        <v>16</v>
      </c>
      <c r="S1496" s="4" t="str">
        <f t="shared" si="76"/>
        <v>河南省</v>
      </c>
    </row>
    <row r="1497" spans="14:19">
      <c r="N1497" s="4">
        <v>1496</v>
      </c>
      <c r="O1497" s="4" t="s">
        <v>2368</v>
      </c>
      <c r="P1497" s="4">
        <v>166</v>
      </c>
      <c r="Q1497" s="4" t="str">
        <f t="shared" si="77"/>
        <v>信阳市</v>
      </c>
      <c r="R1497" s="4">
        <f t="shared" si="75"/>
        <v>16</v>
      </c>
      <c r="S1497" s="4" t="str">
        <f t="shared" si="76"/>
        <v>河南省</v>
      </c>
    </row>
    <row r="1498" spans="14:19">
      <c r="N1498" s="4">
        <v>1497</v>
      </c>
      <c r="O1498" s="4" t="s">
        <v>2369</v>
      </c>
      <c r="P1498" s="4">
        <v>166</v>
      </c>
      <c r="Q1498" s="4" t="str">
        <f t="shared" si="77"/>
        <v>信阳市</v>
      </c>
      <c r="R1498" s="4">
        <f t="shared" si="75"/>
        <v>16</v>
      </c>
      <c r="S1498" s="4" t="str">
        <f t="shared" si="76"/>
        <v>河南省</v>
      </c>
    </row>
    <row r="1499" spans="14:19">
      <c r="N1499" s="4">
        <v>1498</v>
      </c>
      <c r="O1499" s="4" t="s">
        <v>2370</v>
      </c>
      <c r="P1499" s="4">
        <v>166</v>
      </c>
      <c r="Q1499" s="4" t="str">
        <f t="shared" si="77"/>
        <v>信阳市</v>
      </c>
      <c r="R1499" s="4">
        <f t="shared" si="75"/>
        <v>16</v>
      </c>
      <c r="S1499" s="4" t="str">
        <f t="shared" si="76"/>
        <v>河南省</v>
      </c>
    </row>
    <row r="1500" spans="14:19">
      <c r="N1500" s="4">
        <v>1499</v>
      </c>
      <c r="O1500" s="4" t="s">
        <v>2371</v>
      </c>
      <c r="P1500" s="4">
        <v>166</v>
      </c>
      <c r="Q1500" s="4" t="str">
        <f t="shared" si="77"/>
        <v>信阳市</v>
      </c>
      <c r="R1500" s="4">
        <f t="shared" si="75"/>
        <v>16</v>
      </c>
      <c r="S1500" s="4" t="str">
        <f t="shared" si="76"/>
        <v>河南省</v>
      </c>
    </row>
    <row r="1501" spans="14:19">
      <c r="N1501" s="4">
        <v>1500</v>
      </c>
      <c r="O1501" s="4" t="s">
        <v>2372</v>
      </c>
      <c r="P1501" s="4">
        <v>166</v>
      </c>
      <c r="Q1501" s="4" t="str">
        <f t="shared" si="77"/>
        <v>信阳市</v>
      </c>
      <c r="R1501" s="4">
        <f t="shared" si="75"/>
        <v>16</v>
      </c>
      <c r="S1501" s="4" t="str">
        <f t="shared" si="76"/>
        <v>河南省</v>
      </c>
    </row>
    <row r="1502" spans="14:19">
      <c r="N1502" s="4">
        <v>1501</v>
      </c>
      <c r="O1502" s="4" t="s">
        <v>2373</v>
      </c>
      <c r="P1502" s="4">
        <v>166</v>
      </c>
      <c r="Q1502" s="4" t="str">
        <f t="shared" si="77"/>
        <v>信阳市</v>
      </c>
      <c r="R1502" s="4">
        <f t="shared" si="75"/>
        <v>16</v>
      </c>
      <c r="S1502" s="4" t="str">
        <f t="shared" si="76"/>
        <v>河南省</v>
      </c>
    </row>
    <row r="1503" spans="14:19">
      <c r="N1503" s="4">
        <v>1502</v>
      </c>
      <c r="O1503" s="4" t="s">
        <v>2374</v>
      </c>
      <c r="P1503" s="4">
        <v>166</v>
      </c>
      <c r="Q1503" s="4" t="str">
        <f t="shared" si="77"/>
        <v>信阳市</v>
      </c>
      <c r="R1503" s="4">
        <f t="shared" si="75"/>
        <v>16</v>
      </c>
      <c r="S1503" s="4" t="str">
        <f t="shared" si="76"/>
        <v>河南省</v>
      </c>
    </row>
    <row r="1504" spans="14:19">
      <c r="N1504" s="4">
        <v>1503</v>
      </c>
      <c r="O1504" s="4" t="s">
        <v>2375</v>
      </c>
      <c r="P1504" s="4">
        <v>167</v>
      </c>
      <c r="Q1504" s="4" t="str">
        <f t="shared" si="77"/>
        <v>周口市</v>
      </c>
      <c r="R1504" s="4">
        <f t="shared" si="75"/>
        <v>16</v>
      </c>
      <c r="S1504" s="4" t="str">
        <f t="shared" si="76"/>
        <v>河南省</v>
      </c>
    </row>
    <row r="1505" spans="14:19">
      <c r="N1505" s="4">
        <v>1504</v>
      </c>
      <c r="O1505" s="4" t="s">
        <v>2376</v>
      </c>
      <c r="P1505" s="4">
        <v>167</v>
      </c>
      <c r="Q1505" s="4" t="str">
        <f t="shared" si="77"/>
        <v>周口市</v>
      </c>
      <c r="R1505" s="4">
        <f t="shared" si="75"/>
        <v>16</v>
      </c>
      <c r="S1505" s="4" t="str">
        <f t="shared" si="76"/>
        <v>河南省</v>
      </c>
    </row>
    <row r="1506" spans="14:19">
      <c r="N1506" s="4">
        <v>1505</v>
      </c>
      <c r="O1506" s="4" t="s">
        <v>2377</v>
      </c>
      <c r="P1506" s="4">
        <v>167</v>
      </c>
      <c r="Q1506" s="4" t="str">
        <f t="shared" si="77"/>
        <v>周口市</v>
      </c>
      <c r="R1506" s="4">
        <f t="shared" si="75"/>
        <v>16</v>
      </c>
      <c r="S1506" s="4" t="str">
        <f t="shared" si="76"/>
        <v>河南省</v>
      </c>
    </row>
    <row r="1507" spans="14:19">
      <c r="N1507" s="4">
        <v>1506</v>
      </c>
      <c r="O1507" s="4" t="s">
        <v>2378</v>
      </c>
      <c r="P1507" s="4">
        <v>167</v>
      </c>
      <c r="Q1507" s="4" t="str">
        <f t="shared" si="77"/>
        <v>周口市</v>
      </c>
      <c r="R1507" s="4">
        <f t="shared" si="75"/>
        <v>16</v>
      </c>
      <c r="S1507" s="4" t="str">
        <f t="shared" si="76"/>
        <v>河南省</v>
      </c>
    </row>
    <row r="1508" spans="14:19">
      <c r="N1508" s="4">
        <v>1507</v>
      </c>
      <c r="O1508" s="4" t="s">
        <v>2379</v>
      </c>
      <c r="P1508" s="4">
        <v>167</v>
      </c>
      <c r="Q1508" s="4" t="str">
        <f t="shared" si="77"/>
        <v>周口市</v>
      </c>
      <c r="R1508" s="4">
        <f t="shared" si="75"/>
        <v>16</v>
      </c>
      <c r="S1508" s="4" t="str">
        <f t="shared" si="76"/>
        <v>河南省</v>
      </c>
    </row>
    <row r="1509" spans="14:19">
      <c r="N1509" s="4">
        <v>1508</v>
      </c>
      <c r="O1509" s="4" t="s">
        <v>2380</v>
      </c>
      <c r="P1509" s="4">
        <v>167</v>
      </c>
      <c r="Q1509" s="4" t="str">
        <f t="shared" si="77"/>
        <v>周口市</v>
      </c>
      <c r="R1509" s="4">
        <f t="shared" si="75"/>
        <v>16</v>
      </c>
      <c r="S1509" s="4" t="str">
        <f t="shared" si="76"/>
        <v>河南省</v>
      </c>
    </row>
    <row r="1510" spans="14:19">
      <c r="N1510" s="4">
        <v>1509</v>
      </c>
      <c r="O1510" s="4" t="s">
        <v>2381</v>
      </c>
      <c r="P1510" s="4">
        <v>167</v>
      </c>
      <c r="Q1510" s="4" t="str">
        <f t="shared" si="77"/>
        <v>周口市</v>
      </c>
      <c r="R1510" s="4">
        <f t="shared" si="75"/>
        <v>16</v>
      </c>
      <c r="S1510" s="4" t="str">
        <f t="shared" si="76"/>
        <v>河南省</v>
      </c>
    </row>
    <row r="1511" spans="14:19">
      <c r="N1511" s="4">
        <v>1510</v>
      </c>
      <c r="O1511" s="4" t="s">
        <v>2382</v>
      </c>
      <c r="P1511" s="4">
        <v>167</v>
      </c>
      <c r="Q1511" s="4" t="str">
        <f t="shared" si="77"/>
        <v>周口市</v>
      </c>
      <c r="R1511" s="4">
        <f t="shared" si="75"/>
        <v>16</v>
      </c>
      <c r="S1511" s="4" t="str">
        <f t="shared" si="76"/>
        <v>河南省</v>
      </c>
    </row>
    <row r="1512" spans="14:19">
      <c r="N1512" s="4">
        <v>1511</v>
      </c>
      <c r="O1512" s="4" t="s">
        <v>2383</v>
      </c>
      <c r="P1512" s="4">
        <v>167</v>
      </c>
      <c r="Q1512" s="4" t="str">
        <f t="shared" si="77"/>
        <v>周口市</v>
      </c>
      <c r="R1512" s="4">
        <f t="shared" si="75"/>
        <v>16</v>
      </c>
      <c r="S1512" s="4" t="str">
        <f t="shared" si="76"/>
        <v>河南省</v>
      </c>
    </row>
    <row r="1513" spans="14:19">
      <c r="N1513" s="4">
        <v>1512</v>
      </c>
      <c r="O1513" s="4" t="s">
        <v>2384</v>
      </c>
      <c r="P1513" s="4">
        <v>167</v>
      </c>
      <c r="Q1513" s="4" t="str">
        <f t="shared" si="77"/>
        <v>周口市</v>
      </c>
      <c r="R1513" s="4">
        <f t="shared" si="75"/>
        <v>16</v>
      </c>
      <c r="S1513" s="4" t="str">
        <f t="shared" si="76"/>
        <v>河南省</v>
      </c>
    </row>
    <row r="1514" spans="14:19">
      <c r="N1514" s="4">
        <v>1513</v>
      </c>
      <c r="O1514" s="4" t="s">
        <v>2385</v>
      </c>
      <c r="P1514" s="4">
        <v>168</v>
      </c>
      <c r="Q1514" s="4" t="str">
        <f t="shared" si="77"/>
        <v>驻马店市</v>
      </c>
      <c r="R1514" s="4">
        <f t="shared" si="75"/>
        <v>16</v>
      </c>
      <c r="S1514" s="4" t="str">
        <f t="shared" si="76"/>
        <v>河南省</v>
      </c>
    </row>
    <row r="1515" spans="14:19">
      <c r="N1515" s="4">
        <v>1514</v>
      </c>
      <c r="O1515" s="4" t="s">
        <v>2386</v>
      </c>
      <c r="P1515" s="4">
        <v>168</v>
      </c>
      <c r="Q1515" s="4" t="str">
        <f t="shared" si="77"/>
        <v>驻马店市</v>
      </c>
      <c r="R1515" s="4">
        <f t="shared" si="75"/>
        <v>16</v>
      </c>
      <c r="S1515" s="4" t="str">
        <f t="shared" si="76"/>
        <v>河南省</v>
      </c>
    </row>
    <row r="1516" spans="14:19">
      <c r="N1516" s="4">
        <v>1515</v>
      </c>
      <c r="O1516" s="4" t="s">
        <v>2387</v>
      </c>
      <c r="P1516" s="4">
        <v>168</v>
      </c>
      <c r="Q1516" s="4" t="str">
        <f t="shared" si="77"/>
        <v>驻马店市</v>
      </c>
      <c r="R1516" s="4">
        <f t="shared" si="75"/>
        <v>16</v>
      </c>
      <c r="S1516" s="4" t="str">
        <f t="shared" si="76"/>
        <v>河南省</v>
      </c>
    </row>
    <row r="1517" spans="14:19">
      <c r="N1517" s="4">
        <v>1516</v>
      </c>
      <c r="O1517" s="4" t="s">
        <v>2388</v>
      </c>
      <c r="P1517" s="4">
        <v>168</v>
      </c>
      <c r="Q1517" s="4" t="str">
        <f t="shared" si="77"/>
        <v>驻马店市</v>
      </c>
      <c r="R1517" s="4">
        <f t="shared" si="75"/>
        <v>16</v>
      </c>
      <c r="S1517" s="4" t="str">
        <f t="shared" si="76"/>
        <v>河南省</v>
      </c>
    </row>
    <row r="1518" spans="14:19">
      <c r="N1518" s="4">
        <v>1517</v>
      </c>
      <c r="O1518" s="4" t="s">
        <v>2389</v>
      </c>
      <c r="P1518" s="4">
        <v>168</v>
      </c>
      <c r="Q1518" s="4" t="str">
        <f t="shared" si="77"/>
        <v>驻马店市</v>
      </c>
      <c r="R1518" s="4">
        <f t="shared" si="75"/>
        <v>16</v>
      </c>
      <c r="S1518" s="4" t="str">
        <f t="shared" si="76"/>
        <v>河南省</v>
      </c>
    </row>
    <row r="1519" spans="14:19">
      <c r="N1519" s="4">
        <v>1518</v>
      </c>
      <c r="O1519" s="4" t="s">
        <v>2390</v>
      </c>
      <c r="P1519" s="4">
        <v>168</v>
      </c>
      <c r="Q1519" s="4" t="str">
        <f t="shared" si="77"/>
        <v>驻马店市</v>
      </c>
      <c r="R1519" s="4">
        <f t="shared" si="75"/>
        <v>16</v>
      </c>
      <c r="S1519" s="4" t="str">
        <f t="shared" si="76"/>
        <v>河南省</v>
      </c>
    </row>
    <row r="1520" spans="14:19">
      <c r="N1520" s="4">
        <v>1519</v>
      </c>
      <c r="O1520" s="4" t="s">
        <v>2391</v>
      </c>
      <c r="P1520" s="4">
        <v>168</v>
      </c>
      <c r="Q1520" s="4" t="str">
        <f t="shared" si="77"/>
        <v>驻马店市</v>
      </c>
      <c r="R1520" s="4">
        <f t="shared" si="75"/>
        <v>16</v>
      </c>
      <c r="S1520" s="4" t="str">
        <f t="shared" si="76"/>
        <v>河南省</v>
      </c>
    </row>
    <row r="1521" spans="14:19">
      <c r="N1521" s="4">
        <v>1520</v>
      </c>
      <c r="O1521" s="4" t="s">
        <v>2392</v>
      </c>
      <c r="P1521" s="4">
        <v>168</v>
      </c>
      <c r="Q1521" s="4" t="str">
        <f t="shared" si="77"/>
        <v>驻马店市</v>
      </c>
      <c r="R1521" s="4">
        <f t="shared" si="75"/>
        <v>16</v>
      </c>
      <c r="S1521" s="4" t="str">
        <f t="shared" si="76"/>
        <v>河南省</v>
      </c>
    </row>
    <row r="1522" spans="14:19">
      <c r="N1522" s="4">
        <v>1521</v>
      </c>
      <c r="O1522" s="4" t="s">
        <v>2393</v>
      </c>
      <c r="P1522" s="4">
        <v>168</v>
      </c>
      <c r="Q1522" s="4" t="str">
        <f t="shared" si="77"/>
        <v>驻马店市</v>
      </c>
      <c r="R1522" s="4">
        <f t="shared" si="75"/>
        <v>16</v>
      </c>
      <c r="S1522" s="4" t="str">
        <f t="shared" si="76"/>
        <v>河南省</v>
      </c>
    </row>
    <row r="1523" spans="14:19">
      <c r="N1523" s="4">
        <v>1522</v>
      </c>
      <c r="O1523" s="4" t="s">
        <v>2394</v>
      </c>
      <c r="P1523" s="4">
        <v>168</v>
      </c>
      <c r="Q1523" s="4" t="str">
        <f t="shared" si="77"/>
        <v>驻马店市</v>
      </c>
      <c r="R1523" s="4">
        <f t="shared" si="75"/>
        <v>16</v>
      </c>
      <c r="S1523" s="4" t="str">
        <f t="shared" si="76"/>
        <v>河南省</v>
      </c>
    </row>
    <row r="1524" spans="14:19">
      <c r="N1524" s="4">
        <v>1523</v>
      </c>
      <c r="O1524" s="4" t="s">
        <v>2395</v>
      </c>
      <c r="P1524" s="4">
        <v>169</v>
      </c>
      <c r="Q1524" s="4" t="str">
        <f t="shared" si="77"/>
        <v>武汉市</v>
      </c>
      <c r="R1524" s="4">
        <f t="shared" si="75"/>
        <v>17</v>
      </c>
      <c r="S1524" s="4" t="str">
        <f t="shared" si="76"/>
        <v>湖北省</v>
      </c>
    </row>
    <row r="1525" spans="14:19">
      <c r="N1525" s="4">
        <v>1524</v>
      </c>
      <c r="O1525" s="4" t="s">
        <v>2396</v>
      </c>
      <c r="P1525" s="4">
        <v>169</v>
      </c>
      <c r="Q1525" s="4" t="str">
        <f t="shared" si="77"/>
        <v>武汉市</v>
      </c>
      <c r="R1525" s="4">
        <f t="shared" si="75"/>
        <v>17</v>
      </c>
      <c r="S1525" s="4" t="str">
        <f t="shared" si="76"/>
        <v>湖北省</v>
      </c>
    </row>
    <row r="1526" spans="14:19">
      <c r="N1526" s="4">
        <v>1525</v>
      </c>
      <c r="O1526" s="4" t="s">
        <v>2397</v>
      </c>
      <c r="P1526" s="4">
        <v>169</v>
      </c>
      <c r="Q1526" s="4" t="str">
        <f t="shared" si="77"/>
        <v>武汉市</v>
      </c>
      <c r="R1526" s="4">
        <f t="shared" si="75"/>
        <v>17</v>
      </c>
      <c r="S1526" s="4" t="str">
        <f t="shared" si="76"/>
        <v>湖北省</v>
      </c>
    </row>
    <row r="1527" spans="14:19">
      <c r="N1527" s="4">
        <v>1526</v>
      </c>
      <c r="O1527" s="4" t="s">
        <v>2398</v>
      </c>
      <c r="P1527" s="4">
        <v>169</v>
      </c>
      <c r="Q1527" s="4" t="str">
        <f t="shared" si="77"/>
        <v>武汉市</v>
      </c>
      <c r="R1527" s="4">
        <f t="shared" si="75"/>
        <v>17</v>
      </c>
      <c r="S1527" s="4" t="str">
        <f t="shared" si="76"/>
        <v>湖北省</v>
      </c>
    </row>
    <row r="1528" spans="14:19">
      <c r="N1528" s="4">
        <v>1527</v>
      </c>
      <c r="O1528" s="4" t="s">
        <v>2399</v>
      </c>
      <c r="P1528" s="4">
        <v>169</v>
      </c>
      <c r="Q1528" s="4" t="str">
        <f t="shared" si="77"/>
        <v>武汉市</v>
      </c>
      <c r="R1528" s="4">
        <f t="shared" si="75"/>
        <v>17</v>
      </c>
      <c r="S1528" s="4" t="str">
        <f t="shared" si="76"/>
        <v>湖北省</v>
      </c>
    </row>
    <row r="1529" spans="14:19">
      <c r="N1529" s="4">
        <v>1528</v>
      </c>
      <c r="O1529" s="4" t="s">
        <v>1228</v>
      </c>
      <c r="P1529" s="4">
        <v>169</v>
      </c>
      <c r="Q1529" s="4" t="str">
        <f t="shared" si="77"/>
        <v>武汉市</v>
      </c>
      <c r="R1529" s="4">
        <f t="shared" si="75"/>
        <v>17</v>
      </c>
      <c r="S1529" s="4" t="str">
        <f t="shared" si="76"/>
        <v>湖北省</v>
      </c>
    </row>
    <row r="1530" spans="14:19">
      <c r="N1530" s="4">
        <v>1529</v>
      </c>
      <c r="O1530" s="4" t="s">
        <v>2400</v>
      </c>
      <c r="P1530" s="4">
        <v>169</v>
      </c>
      <c r="Q1530" s="4" t="str">
        <f t="shared" si="77"/>
        <v>武汉市</v>
      </c>
      <c r="R1530" s="4">
        <f t="shared" si="75"/>
        <v>17</v>
      </c>
      <c r="S1530" s="4" t="str">
        <f t="shared" si="76"/>
        <v>湖北省</v>
      </c>
    </row>
    <row r="1531" spans="14:19">
      <c r="N1531" s="4">
        <v>1530</v>
      </c>
      <c r="O1531" s="4" t="s">
        <v>2401</v>
      </c>
      <c r="P1531" s="4">
        <v>169</v>
      </c>
      <c r="Q1531" s="4" t="str">
        <f t="shared" si="77"/>
        <v>武汉市</v>
      </c>
      <c r="R1531" s="4">
        <f t="shared" si="75"/>
        <v>17</v>
      </c>
      <c r="S1531" s="4" t="str">
        <f t="shared" si="76"/>
        <v>湖北省</v>
      </c>
    </row>
    <row r="1532" spans="14:19">
      <c r="N1532" s="4">
        <v>1531</v>
      </c>
      <c r="O1532" s="4" t="s">
        <v>2402</v>
      </c>
      <c r="P1532" s="4">
        <v>169</v>
      </c>
      <c r="Q1532" s="4" t="str">
        <f t="shared" si="77"/>
        <v>武汉市</v>
      </c>
      <c r="R1532" s="4">
        <f t="shared" si="75"/>
        <v>17</v>
      </c>
      <c r="S1532" s="4" t="str">
        <f t="shared" si="76"/>
        <v>湖北省</v>
      </c>
    </row>
    <row r="1533" spans="14:19">
      <c r="N1533" s="4">
        <v>1532</v>
      </c>
      <c r="O1533" s="4" t="s">
        <v>2403</v>
      </c>
      <c r="P1533" s="4">
        <v>169</v>
      </c>
      <c r="Q1533" s="4" t="str">
        <f t="shared" si="77"/>
        <v>武汉市</v>
      </c>
      <c r="R1533" s="4">
        <f t="shared" si="75"/>
        <v>17</v>
      </c>
      <c r="S1533" s="4" t="str">
        <f t="shared" si="76"/>
        <v>湖北省</v>
      </c>
    </row>
    <row r="1534" spans="14:19">
      <c r="N1534" s="4">
        <v>1533</v>
      </c>
      <c r="O1534" s="4" t="s">
        <v>2404</v>
      </c>
      <c r="P1534" s="4">
        <v>169</v>
      </c>
      <c r="Q1534" s="4" t="str">
        <f t="shared" si="77"/>
        <v>武汉市</v>
      </c>
      <c r="R1534" s="4">
        <f t="shared" si="75"/>
        <v>17</v>
      </c>
      <c r="S1534" s="4" t="str">
        <f t="shared" si="76"/>
        <v>湖北省</v>
      </c>
    </row>
    <row r="1535" spans="14:19">
      <c r="N1535" s="4">
        <v>1534</v>
      </c>
      <c r="O1535" s="4" t="s">
        <v>2405</v>
      </c>
      <c r="P1535" s="4">
        <v>169</v>
      </c>
      <c r="Q1535" s="4" t="str">
        <f t="shared" si="77"/>
        <v>武汉市</v>
      </c>
      <c r="R1535" s="4">
        <f t="shared" si="75"/>
        <v>17</v>
      </c>
      <c r="S1535" s="4" t="str">
        <f t="shared" si="76"/>
        <v>湖北省</v>
      </c>
    </row>
    <row r="1536" spans="14:19">
      <c r="N1536" s="4">
        <v>1535</v>
      </c>
      <c r="O1536" s="4" t="s">
        <v>2406</v>
      </c>
      <c r="P1536" s="4">
        <v>169</v>
      </c>
      <c r="Q1536" s="4" t="str">
        <f t="shared" si="77"/>
        <v>武汉市</v>
      </c>
      <c r="R1536" s="4">
        <f t="shared" si="75"/>
        <v>17</v>
      </c>
      <c r="S1536" s="4" t="str">
        <f t="shared" si="76"/>
        <v>湖北省</v>
      </c>
    </row>
    <row r="1537" spans="14:19">
      <c r="N1537" s="4">
        <v>1536</v>
      </c>
      <c r="O1537" s="4" t="s">
        <v>2407</v>
      </c>
      <c r="P1537" s="4">
        <v>170</v>
      </c>
      <c r="Q1537" s="4" t="str">
        <f t="shared" si="77"/>
        <v>黄石市</v>
      </c>
      <c r="R1537" s="4">
        <f t="shared" si="75"/>
        <v>17</v>
      </c>
      <c r="S1537" s="4" t="str">
        <f t="shared" si="76"/>
        <v>湖北省</v>
      </c>
    </row>
    <row r="1538" spans="14:19">
      <c r="N1538" s="4">
        <v>1537</v>
      </c>
      <c r="O1538" s="4" t="s">
        <v>2408</v>
      </c>
      <c r="P1538" s="4">
        <v>170</v>
      </c>
      <c r="Q1538" s="4" t="str">
        <f t="shared" si="77"/>
        <v>黄石市</v>
      </c>
      <c r="R1538" s="4">
        <f t="shared" ref="R1538:R1601" si="78">VLOOKUP(P1538,$I$2:$M$346,3,FALSE)</f>
        <v>17</v>
      </c>
      <c r="S1538" s="4" t="str">
        <f t="shared" ref="S1538:S1601" si="79">VLOOKUP(P1538,$I$2:$M$346,4,FALSE)</f>
        <v>湖北省</v>
      </c>
    </row>
    <row r="1539" spans="14:19">
      <c r="N1539" s="4">
        <v>1538</v>
      </c>
      <c r="O1539" s="4" t="s">
        <v>2409</v>
      </c>
      <c r="P1539" s="4">
        <v>170</v>
      </c>
      <c r="Q1539" s="4" t="str">
        <f t="shared" ref="Q1539:Q1602" si="80">VLOOKUP(P1539,$I$2:$J$346,2,FALSE)</f>
        <v>黄石市</v>
      </c>
      <c r="R1539" s="4">
        <f t="shared" si="78"/>
        <v>17</v>
      </c>
      <c r="S1539" s="4" t="str">
        <f t="shared" si="79"/>
        <v>湖北省</v>
      </c>
    </row>
    <row r="1540" spans="14:19">
      <c r="N1540" s="4">
        <v>1539</v>
      </c>
      <c r="O1540" s="4" t="s">
        <v>2410</v>
      </c>
      <c r="P1540" s="4">
        <v>170</v>
      </c>
      <c r="Q1540" s="4" t="str">
        <f t="shared" si="80"/>
        <v>黄石市</v>
      </c>
      <c r="R1540" s="4">
        <f t="shared" si="78"/>
        <v>17</v>
      </c>
      <c r="S1540" s="4" t="str">
        <f t="shared" si="79"/>
        <v>湖北省</v>
      </c>
    </row>
    <row r="1541" spans="14:19">
      <c r="N1541" s="4">
        <v>1540</v>
      </c>
      <c r="O1541" s="4" t="s">
        <v>2411</v>
      </c>
      <c r="P1541" s="4">
        <v>170</v>
      </c>
      <c r="Q1541" s="4" t="str">
        <f t="shared" si="80"/>
        <v>黄石市</v>
      </c>
      <c r="R1541" s="4">
        <f t="shared" si="78"/>
        <v>17</v>
      </c>
      <c r="S1541" s="4" t="str">
        <f t="shared" si="79"/>
        <v>湖北省</v>
      </c>
    </row>
    <row r="1542" spans="14:19">
      <c r="N1542" s="4">
        <v>1541</v>
      </c>
      <c r="O1542" s="4" t="s">
        <v>2412</v>
      </c>
      <c r="P1542" s="4">
        <v>170</v>
      </c>
      <c r="Q1542" s="4" t="str">
        <f t="shared" si="80"/>
        <v>黄石市</v>
      </c>
      <c r="R1542" s="4">
        <f t="shared" si="78"/>
        <v>17</v>
      </c>
      <c r="S1542" s="4" t="str">
        <f t="shared" si="79"/>
        <v>湖北省</v>
      </c>
    </row>
    <row r="1543" spans="14:19">
      <c r="N1543" s="4">
        <v>1542</v>
      </c>
      <c r="O1543" s="4" t="s">
        <v>2413</v>
      </c>
      <c r="P1543" s="4">
        <v>171</v>
      </c>
      <c r="Q1543" s="4" t="str">
        <f t="shared" si="80"/>
        <v>十堰市</v>
      </c>
      <c r="R1543" s="4">
        <f t="shared" si="78"/>
        <v>17</v>
      </c>
      <c r="S1543" s="4" t="str">
        <f t="shared" si="79"/>
        <v>湖北省</v>
      </c>
    </row>
    <row r="1544" spans="14:19">
      <c r="N1544" s="4">
        <v>1543</v>
      </c>
      <c r="O1544" s="4" t="s">
        <v>2414</v>
      </c>
      <c r="P1544" s="4">
        <v>171</v>
      </c>
      <c r="Q1544" s="4" t="str">
        <f t="shared" si="80"/>
        <v>十堰市</v>
      </c>
      <c r="R1544" s="4">
        <f t="shared" si="78"/>
        <v>17</v>
      </c>
      <c r="S1544" s="4" t="str">
        <f t="shared" si="79"/>
        <v>湖北省</v>
      </c>
    </row>
    <row r="1545" spans="14:19">
      <c r="N1545" s="4">
        <v>1544</v>
      </c>
      <c r="O1545" s="4" t="s">
        <v>2415</v>
      </c>
      <c r="P1545" s="4">
        <v>171</v>
      </c>
      <c r="Q1545" s="4" t="str">
        <f t="shared" si="80"/>
        <v>十堰市</v>
      </c>
      <c r="R1545" s="4">
        <f t="shared" si="78"/>
        <v>17</v>
      </c>
      <c r="S1545" s="4" t="str">
        <f t="shared" si="79"/>
        <v>湖北省</v>
      </c>
    </row>
    <row r="1546" spans="14:19">
      <c r="N1546" s="4">
        <v>1545</v>
      </c>
      <c r="O1546" s="4" t="s">
        <v>2416</v>
      </c>
      <c r="P1546" s="4">
        <v>171</v>
      </c>
      <c r="Q1546" s="4" t="str">
        <f t="shared" si="80"/>
        <v>十堰市</v>
      </c>
      <c r="R1546" s="4">
        <f t="shared" si="78"/>
        <v>17</v>
      </c>
      <c r="S1546" s="4" t="str">
        <f t="shared" si="79"/>
        <v>湖北省</v>
      </c>
    </row>
    <row r="1547" spans="14:19">
      <c r="N1547" s="4">
        <v>1546</v>
      </c>
      <c r="O1547" s="4" t="s">
        <v>2417</v>
      </c>
      <c r="P1547" s="4">
        <v>171</v>
      </c>
      <c r="Q1547" s="4" t="str">
        <f t="shared" si="80"/>
        <v>十堰市</v>
      </c>
      <c r="R1547" s="4">
        <f t="shared" si="78"/>
        <v>17</v>
      </c>
      <c r="S1547" s="4" t="str">
        <f t="shared" si="79"/>
        <v>湖北省</v>
      </c>
    </row>
    <row r="1548" spans="14:19">
      <c r="N1548" s="4">
        <v>1547</v>
      </c>
      <c r="O1548" s="4" t="s">
        <v>2418</v>
      </c>
      <c r="P1548" s="4">
        <v>171</v>
      </c>
      <c r="Q1548" s="4" t="str">
        <f t="shared" si="80"/>
        <v>十堰市</v>
      </c>
      <c r="R1548" s="4">
        <f t="shared" si="78"/>
        <v>17</v>
      </c>
      <c r="S1548" s="4" t="str">
        <f t="shared" si="79"/>
        <v>湖北省</v>
      </c>
    </row>
    <row r="1549" spans="14:19">
      <c r="N1549" s="4">
        <v>1548</v>
      </c>
      <c r="O1549" s="4" t="s">
        <v>2419</v>
      </c>
      <c r="P1549" s="4">
        <v>171</v>
      </c>
      <c r="Q1549" s="4" t="str">
        <f t="shared" si="80"/>
        <v>十堰市</v>
      </c>
      <c r="R1549" s="4">
        <f t="shared" si="78"/>
        <v>17</v>
      </c>
      <c r="S1549" s="4" t="str">
        <f t="shared" si="79"/>
        <v>湖北省</v>
      </c>
    </row>
    <row r="1550" spans="14:19">
      <c r="N1550" s="4">
        <v>1549</v>
      </c>
      <c r="O1550" s="4" t="s">
        <v>2420</v>
      </c>
      <c r="P1550" s="4">
        <v>171</v>
      </c>
      <c r="Q1550" s="4" t="str">
        <f t="shared" si="80"/>
        <v>十堰市</v>
      </c>
      <c r="R1550" s="4">
        <f t="shared" si="78"/>
        <v>17</v>
      </c>
      <c r="S1550" s="4" t="str">
        <f t="shared" si="79"/>
        <v>湖北省</v>
      </c>
    </row>
    <row r="1551" spans="14:19">
      <c r="N1551" s="4">
        <v>1550</v>
      </c>
      <c r="O1551" s="4" t="s">
        <v>2421</v>
      </c>
      <c r="P1551" s="4">
        <v>172</v>
      </c>
      <c r="Q1551" s="4" t="str">
        <f t="shared" si="80"/>
        <v>宜昌市</v>
      </c>
      <c r="R1551" s="4">
        <f t="shared" si="78"/>
        <v>17</v>
      </c>
      <c r="S1551" s="4" t="str">
        <f t="shared" si="79"/>
        <v>湖北省</v>
      </c>
    </row>
    <row r="1552" spans="14:19">
      <c r="N1552" s="4">
        <v>1551</v>
      </c>
      <c r="O1552" s="4" t="s">
        <v>2422</v>
      </c>
      <c r="P1552" s="4">
        <v>172</v>
      </c>
      <c r="Q1552" s="4" t="str">
        <f t="shared" si="80"/>
        <v>宜昌市</v>
      </c>
      <c r="R1552" s="4">
        <f t="shared" si="78"/>
        <v>17</v>
      </c>
      <c r="S1552" s="4" t="str">
        <f t="shared" si="79"/>
        <v>湖北省</v>
      </c>
    </row>
    <row r="1553" spans="14:19">
      <c r="N1553" s="4">
        <v>1552</v>
      </c>
      <c r="O1553" s="4" t="s">
        <v>2423</v>
      </c>
      <c r="P1553" s="4">
        <v>172</v>
      </c>
      <c r="Q1553" s="4" t="str">
        <f t="shared" si="80"/>
        <v>宜昌市</v>
      </c>
      <c r="R1553" s="4">
        <f t="shared" si="78"/>
        <v>17</v>
      </c>
      <c r="S1553" s="4" t="str">
        <f t="shared" si="79"/>
        <v>湖北省</v>
      </c>
    </row>
    <row r="1554" spans="14:19">
      <c r="N1554" s="4">
        <v>1553</v>
      </c>
      <c r="O1554" s="4" t="s">
        <v>2424</v>
      </c>
      <c r="P1554" s="4">
        <v>172</v>
      </c>
      <c r="Q1554" s="4" t="str">
        <f t="shared" si="80"/>
        <v>宜昌市</v>
      </c>
      <c r="R1554" s="4">
        <f t="shared" si="78"/>
        <v>17</v>
      </c>
      <c r="S1554" s="4" t="str">
        <f t="shared" si="79"/>
        <v>湖北省</v>
      </c>
    </row>
    <row r="1555" spans="14:19">
      <c r="N1555" s="4">
        <v>1554</v>
      </c>
      <c r="O1555" s="4" t="s">
        <v>2425</v>
      </c>
      <c r="P1555" s="4">
        <v>172</v>
      </c>
      <c r="Q1555" s="4" t="str">
        <f t="shared" si="80"/>
        <v>宜昌市</v>
      </c>
      <c r="R1555" s="4">
        <f t="shared" si="78"/>
        <v>17</v>
      </c>
      <c r="S1555" s="4" t="str">
        <f t="shared" si="79"/>
        <v>湖北省</v>
      </c>
    </row>
    <row r="1556" spans="14:19">
      <c r="N1556" s="4">
        <v>1555</v>
      </c>
      <c r="O1556" s="4" t="s">
        <v>2426</v>
      </c>
      <c r="P1556" s="4">
        <v>172</v>
      </c>
      <c r="Q1556" s="4" t="str">
        <f t="shared" si="80"/>
        <v>宜昌市</v>
      </c>
      <c r="R1556" s="4">
        <f t="shared" si="78"/>
        <v>17</v>
      </c>
      <c r="S1556" s="4" t="str">
        <f t="shared" si="79"/>
        <v>湖北省</v>
      </c>
    </row>
    <row r="1557" spans="14:19">
      <c r="N1557" s="4">
        <v>1556</v>
      </c>
      <c r="O1557" s="4" t="s">
        <v>2427</v>
      </c>
      <c r="P1557" s="4">
        <v>172</v>
      </c>
      <c r="Q1557" s="4" t="str">
        <f t="shared" si="80"/>
        <v>宜昌市</v>
      </c>
      <c r="R1557" s="4">
        <f t="shared" si="78"/>
        <v>17</v>
      </c>
      <c r="S1557" s="4" t="str">
        <f t="shared" si="79"/>
        <v>湖北省</v>
      </c>
    </row>
    <row r="1558" spans="14:19">
      <c r="N1558" s="4">
        <v>1557</v>
      </c>
      <c r="O1558" s="4" t="s">
        <v>2428</v>
      </c>
      <c r="P1558" s="4">
        <v>172</v>
      </c>
      <c r="Q1558" s="4" t="str">
        <f t="shared" si="80"/>
        <v>宜昌市</v>
      </c>
      <c r="R1558" s="4">
        <f t="shared" si="78"/>
        <v>17</v>
      </c>
      <c r="S1558" s="4" t="str">
        <f t="shared" si="79"/>
        <v>湖北省</v>
      </c>
    </row>
    <row r="1559" spans="14:19">
      <c r="N1559" s="4">
        <v>1558</v>
      </c>
      <c r="O1559" s="4" t="s">
        <v>2429</v>
      </c>
      <c r="P1559" s="4">
        <v>172</v>
      </c>
      <c r="Q1559" s="4" t="str">
        <f t="shared" si="80"/>
        <v>宜昌市</v>
      </c>
      <c r="R1559" s="4">
        <f t="shared" si="78"/>
        <v>17</v>
      </c>
      <c r="S1559" s="4" t="str">
        <f t="shared" si="79"/>
        <v>湖北省</v>
      </c>
    </row>
    <row r="1560" spans="14:19">
      <c r="N1560" s="4">
        <v>1559</v>
      </c>
      <c r="O1560" s="4" t="s">
        <v>2430</v>
      </c>
      <c r="P1560" s="4">
        <v>172</v>
      </c>
      <c r="Q1560" s="4" t="str">
        <f t="shared" si="80"/>
        <v>宜昌市</v>
      </c>
      <c r="R1560" s="4">
        <f t="shared" si="78"/>
        <v>17</v>
      </c>
      <c r="S1560" s="4" t="str">
        <f t="shared" si="79"/>
        <v>湖北省</v>
      </c>
    </row>
    <row r="1561" spans="14:19">
      <c r="N1561" s="4">
        <v>1560</v>
      </c>
      <c r="O1561" s="4" t="s">
        <v>2431</v>
      </c>
      <c r="P1561" s="4">
        <v>172</v>
      </c>
      <c r="Q1561" s="4" t="str">
        <f t="shared" si="80"/>
        <v>宜昌市</v>
      </c>
      <c r="R1561" s="4">
        <f t="shared" si="78"/>
        <v>17</v>
      </c>
      <c r="S1561" s="4" t="str">
        <f t="shared" si="79"/>
        <v>湖北省</v>
      </c>
    </row>
    <row r="1562" spans="14:19">
      <c r="N1562" s="4">
        <v>1561</v>
      </c>
      <c r="O1562" s="4" t="s">
        <v>2432</v>
      </c>
      <c r="P1562" s="4">
        <v>172</v>
      </c>
      <c r="Q1562" s="4" t="str">
        <f t="shared" si="80"/>
        <v>宜昌市</v>
      </c>
      <c r="R1562" s="4">
        <f t="shared" si="78"/>
        <v>17</v>
      </c>
      <c r="S1562" s="4" t="str">
        <f t="shared" si="79"/>
        <v>湖北省</v>
      </c>
    </row>
    <row r="1563" spans="14:19">
      <c r="N1563" s="4">
        <v>1562</v>
      </c>
      <c r="O1563" s="4" t="s">
        <v>2433</v>
      </c>
      <c r="P1563" s="4">
        <v>172</v>
      </c>
      <c r="Q1563" s="4" t="str">
        <f t="shared" si="80"/>
        <v>宜昌市</v>
      </c>
      <c r="R1563" s="4">
        <f t="shared" si="78"/>
        <v>17</v>
      </c>
      <c r="S1563" s="4" t="str">
        <f t="shared" si="79"/>
        <v>湖北省</v>
      </c>
    </row>
    <row r="1564" spans="14:19">
      <c r="N1564" s="4">
        <v>1563</v>
      </c>
      <c r="O1564" s="4" t="s">
        <v>2434</v>
      </c>
      <c r="P1564" s="4">
        <v>173</v>
      </c>
      <c r="Q1564" s="4" t="str">
        <f t="shared" si="80"/>
        <v>襄樊市</v>
      </c>
      <c r="R1564" s="4">
        <f t="shared" si="78"/>
        <v>17</v>
      </c>
      <c r="S1564" s="4" t="str">
        <f t="shared" si="79"/>
        <v>湖北省</v>
      </c>
    </row>
    <row r="1565" spans="14:19">
      <c r="N1565" s="4">
        <v>1564</v>
      </c>
      <c r="O1565" s="4" t="s">
        <v>2435</v>
      </c>
      <c r="P1565" s="4">
        <v>173</v>
      </c>
      <c r="Q1565" s="4" t="str">
        <f t="shared" si="80"/>
        <v>襄樊市</v>
      </c>
      <c r="R1565" s="4">
        <f t="shared" si="78"/>
        <v>17</v>
      </c>
      <c r="S1565" s="4" t="str">
        <f t="shared" si="79"/>
        <v>湖北省</v>
      </c>
    </row>
    <row r="1566" spans="14:19">
      <c r="N1566" s="4">
        <v>1565</v>
      </c>
      <c r="O1566" s="4" t="s">
        <v>2436</v>
      </c>
      <c r="P1566" s="4">
        <v>173</v>
      </c>
      <c r="Q1566" s="4" t="str">
        <f t="shared" si="80"/>
        <v>襄樊市</v>
      </c>
      <c r="R1566" s="4">
        <f t="shared" si="78"/>
        <v>17</v>
      </c>
      <c r="S1566" s="4" t="str">
        <f t="shared" si="79"/>
        <v>湖北省</v>
      </c>
    </row>
    <row r="1567" spans="14:19">
      <c r="N1567" s="4">
        <v>1566</v>
      </c>
      <c r="O1567" s="4" t="s">
        <v>2437</v>
      </c>
      <c r="P1567" s="4">
        <v>173</v>
      </c>
      <c r="Q1567" s="4" t="str">
        <f t="shared" si="80"/>
        <v>襄樊市</v>
      </c>
      <c r="R1567" s="4">
        <f t="shared" si="78"/>
        <v>17</v>
      </c>
      <c r="S1567" s="4" t="str">
        <f t="shared" si="79"/>
        <v>湖北省</v>
      </c>
    </row>
    <row r="1568" spans="14:19">
      <c r="N1568" s="4">
        <v>1567</v>
      </c>
      <c r="O1568" s="4" t="s">
        <v>2438</v>
      </c>
      <c r="P1568" s="4">
        <v>173</v>
      </c>
      <c r="Q1568" s="4" t="str">
        <f t="shared" si="80"/>
        <v>襄樊市</v>
      </c>
      <c r="R1568" s="4">
        <f t="shared" si="78"/>
        <v>17</v>
      </c>
      <c r="S1568" s="4" t="str">
        <f t="shared" si="79"/>
        <v>湖北省</v>
      </c>
    </row>
    <row r="1569" spans="14:19">
      <c r="N1569" s="4">
        <v>1568</v>
      </c>
      <c r="O1569" s="4" t="s">
        <v>2439</v>
      </c>
      <c r="P1569" s="4">
        <v>173</v>
      </c>
      <c r="Q1569" s="4" t="str">
        <f t="shared" si="80"/>
        <v>襄樊市</v>
      </c>
      <c r="R1569" s="4">
        <f t="shared" si="78"/>
        <v>17</v>
      </c>
      <c r="S1569" s="4" t="str">
        <f t="shared" si="79"/>
        <v>湖北省</v>
      </c>
    </row>
    <row r="1570" spans="14:19">
      <c r="N1570" s="4">
        <v>1569</v>
      </c>
      <c r="O1570" s="4" t="s">
        <v>2440</v>
      </c>
      <c r="P1570" s="4">
        <v>173</v>
      </c>
      <c r="Q1570" s="4" t="str">
        <f t="shared" si="80"/>
        <v>襄樊市</v>
      </c>
      <c r="R1570" s="4">
        <f t="shared" si="78"/>
        <v>17</v>
      </c>
      <c r="S1570" s="4" t="str">
        <f t="shared" si="79"/>
        <v>湖北省</v>
      </c>
    </row>
    <row r="1571" spans="14:19">
      <c r="N1571" s="4">
        <v>1570</v>
      </c>
      <c r="O1571" s="4" t="s">
        <v>2441</v>
      </c>
      <c r="P1571" s="4">
        <v>173</v>
      </c>
      <c r="Q1571" s="4" t="str">
        <f t="shared" si="80"/>
        <v>襄樊市</v>
      </c>
      <c r="R1571" s="4">
        <f t="shared" si="78"/>
        <v>17</v>
      </c>
      <c r="S1571" s="4" t="str">
        <f t="shared" si="79"/>
        <v>湖北省</v>
      </c>
    </row>
    <row r="1572" spans="14:19">
      <c r="N1572" s="4">
        <v>1571</v>
      </c>
      <c r="O1572" s="4" t="s">
        <v>2442</v>
      </c>
      <c r="P1572" s="4">
        <v>173</v>
      </c>
      <c r="Q1572" s="4" t="str">
        <f t="shared" si="80"/>
        <v>襄樊市</v>
      </c>
      <c r="R1572" s="4">
        <f t="shared" si="78"/>
        <v>17</v>
      </c>
      <c r="S1572" s="4" t="str">
        <f t="shared" si="79"/>
        <v>湖北省</v>
      </c>
    </row>
    <row r="1573" spans="14:19">
      <c r="N1573" s="4">
        <v>1572</v>
      </c>
      <c r="O1573" s="4" t="s">
        <v>2443</v>
      </c>
      <c r="P1573" s="4">
        <v>174</v>
      </c>
      <c r="Q1573" s="4" t="str">
        <f t="shared" si="80"/>
        <v>鄂州市</v>
      </c>
      <c r="R1573" s="4">
        <f t="shared" si="78"/>
        <v>17</v>
      </c>
      <c r="S1573" s="4" t="str">
        <f t="shared" si="79"/>
        <v>湖北省</v>
      </c>
    </row>
    <row r="1574" spans="14:19">
      <c r="N1574" s="4">
        <v>1573</v>
      </c>
      <c r="O1574" s="4" t="s">
        <v>2444</v>
      </c>
      <c r="P1574" s="4">
        <v>174</v>
      </c>
      <c r="Q1574" s="4" t="str">
        <f t="shared" si="80"/>
        <v>鄂州市</v>
      </c>
      <c r="R1574" s="4">
        <f t="shared" si="78"/>
        <v>17</v>
      </c>
      <c r="S1574" s="4" t="str">
        <f t="shared" si="79"/>
        <v>湖北省</v>
      </c>
    </row>
    <row r="1575" spans="14:19">
      <c r="N1575" s="4">
        <v>1574</v>
      </c>
      <c r="O1575" s="4" t="s">
        <v>2445</v>
      </c>
      <c r="P1575" s="4">
        <v>174</v>
      </c>
      <c r="Q1575" s="4" t="str">
        <f t="shared" si="80"/>
        <v>鄂州市</v>
      </c>
      <c r="R1575" s="4">
        <f t="shared" si="78"/>
        <v>17</v>
      </c>
      <c r="S1575" s="4" t="str">
        <f t="shared" si="79"/>
        <v>湖北省</v>
      </c>
    </row>
    <row r="1576" spans="14:19">
      <c r="N1576" s="4">
        <v>1575</v>
      </c>
      <c r="O1576" s="4" t="s">
        <v>2446</v>
      </c>
      <c r="P1576" s="4">
        <v>175</v>
      </c>
      <c r="Q1576" s="4" t="str">
        <f t="shared" si="80"/>
        <v>荆门市</v>
      </c>
      <c r="R1576" s="4">
        <f t="shared" si="78"/>
        <v>17</v>
      </c>
      <c r="S1576" s="4" t="str">
        <f t="shared" si="79"/>
        <v>湖北省</v>
      </c>
    </row>
    <row r="1577" spans="14:19">
      <c r="N1577" s="4">
        <v>1576</v>
      </c>
      <c r="O1577" s="4" t="s">
        <v>2447</v>
      </c>
      <c r="P1577" s="4">
        <v>175</v>
      </c>
      <c r="Q1577" s="4" t="str">
        <f t="shared" si="80"/>
        <v>荆门市</v>
      </c>
      <c r="R1577" s="4">
        <f t="shared" si="78"/>
        <v>17</v>
      </c>
      <c r="S1577" s="4" t="str">
        <f t="shared" si="79"/>
        <v>湖北省</v>
      </c>
    </row>
    <row r="1578" spans="14:19">
      <c r="N1578" s="4">
        <v>1577</v>
      </c>
      <c r="O1578" s="4" t="s">
        <v>2448</v>
      </c>
      <c r="P1578" s="4">
        <v>175</v>
      </c>
      <c r="Q1578" s="4" t="str">
        <f t="shared" si="80"/>
        <v>荆门市</v>
      </c>
      <c r="R1578" s="4">
        <f t="shared" si="78"/>
        <v>17</v>
      </c>
      <c r="S1578" s="4" t="str">
        <f t="shared" si="79"/>
        <v>湖北省</v>
      </c>
    </row>
    <row r="1579" spans="14:19">
      <c r="N1579" s="4">
        <v>1578</v>
      </c>
      <c r="O1579" s="4" t="s">
        <v>2449</v>
      </c>
      <c r="P1579" s="4">
        <v>175</v>
      </c>
      <c r="Q1579" s="4" t="str">
        <f t="shared" si="80"/>
        <v>荆门市</v>
      </c>
      <c r="R1579" s="4">
        <f t="shared" si="78"/>
        <v>17</v>
      </c>
      <c r="S1579" s="4" t="str">
        <f t="shared" si="79"/>
        <v>湖北省</v>
      </c>
    </row>
    <row r="1580" spans="14:19">
      <c r="N1580" s="4">
        <v>1579</v>
      </c>
      <c r="O1580" s="4" t="s">
        <v>2450</v>
      </c>
      <c r="P1580" s="4">
        <v>175</v>
      </c>
      <c r="Q1580" s="4" t="str">
        <f t="shared" si="80"/>
        <v>荆门市</v>
      </c>
      <c r="R1580" s="4">
        <f t="shared" si="78"/>
        <v>17</v>
      </c>
      <c r="S1580" s="4" t="str">
        <f t="shared" si="79"/>
        <v>湖北省</v>
      </c>
    </row>
    <row r="1581" spans="14:19">
      <c r="N1581" s="4">
        <v>1580</v>
      </c>
      <c r="O1581" s="4" t="s">
        <v>2451</v>
      </c>
      <c r="P1581" s="4">
        <v>176</v>
      </c>
      <c r="Q1581" s="4" t="str">
        <f t="shared" si="80"/>
        <v>孝感市</v>
      </c>
      <c r="R1581" s="4">
        <f t="shared" si="78"/>
        <v>17</v>
      </c>
      <c r="S1581" s="4" t="str">
        <f t="shared" si="79"/>
        <v>湖北省</v>
      </c>
    </row>
    <row r="1582" spans="14:19">
      <c r="N1582" s="4">
        <v>1581</v>
      </c>
      <c r="O1582" s="4" t="s">
        <v>2452</v>
      </c>
      <c r="P1582" s="4">
        <v>176</v>
      </c>
      <c r="Q1582" s="4" t="str">
        <f t="shared" si="80"/>
        <v>孝感市</v>
      </c>
      <c r="R1582" s="4">
        <f t="shared" si="78"/>
        <v>17</v>
      </c>
      <c r="S1582" s="4" t="str">
        <f t="shared" si="79"/>
        <v>湖北省</v>
      </c>
    </row>
    <row r="1583" spans="14:19">
      <c r="N1583" s="4">
        <v>1582</v>
      </c>
      <c r="O1583" s="4" t="s">
        <v>2453</v>
      </c>
      <c r="P1583" s="4">
        <v>176</v>
      </c>
      <c r="Q1583" s="4" t="str">
        <f t="shared" si="80"/>
        <v>孝感市</v>
      </c>
      <c r="R1583" s="4">
        <f t="shared" si="78"/>
        <v>17</v>
      </c>
      <c r="S1583" s="4" t="str">
        <f t="shared" si="79"/>
        <v>湖北省</v>
      </c>
    </row>
    <row r="1584" spans="14:19">
      <c r="N1584" s="4">
        <v>1583</v>
      </c>
      <c r="O1584" s="4" t="s">
        <v>2454</v>
      </c>
      <c r="P1584" s="4">
        <v>176</v>
      </c>
      <c r="Q1584" s="4" t="str">
        <f t="shared" si="80"/>
        <v>孝感市</v>
      </c>
      <c r="R1584" s="4">
        <f t="shared" si="78"/>
        <v>17</v>
      </c>
      <c r="S1584" s="4" t="str">
        <f t="shared" si="79"/>
        <v>湖北省</v>
      </c>
    </row>
    <row r="1585" spans="14:19">
      <c r="N1585" s="4">
        <v>1584</v>
      </c>
      <c r="O1585" s="4" t="s">
        <v>2455</v>
      </c>
      <c r="P1585" s="4">
        <v>176</v>
      </c>
      <c r="Q1585" s="4" t="str">
        <f t="shared" si="80"/>
        <v>孝感市</v>
      </c>
      <c r="R1585" s="4">
        <f t="shared" si="78"/>
        <v>17</v>
      </c>
      <c r="S1585" s="4" t="str">
        <f t="shared" si="79"/>
        <v>湖北省</v>
      </c>
    </row>
    <row r="1586" spans="14:19">
      <c r="N1586" s="4">
        <v>1585</v>
      </c>
      <c r="O1586" s="4" t="s">
        <v>2456</v>
      </c>
      <c r="P1586" s="4">
        <v>176</v>
      </c>
      <c r="Q1586" s="4" t="str">
        <f t="shared" si="80"/>
        <v>孝感市</v>
      </c>
      <c r="R1586" s="4">
        <f t="shared" si="78"/>
        <v>17</v>
      </c>
      <c r="S1586" s="4" t="str">
        <f t="shared" si="79"/>
        <v>湖北省</v>
      </c>
    </row>
    <row r="1587" spans="14:19">
      <c r="N1587" s="4">
        <v>1586</v>
      </c>
      <c r="O1587" s="4" t="s">
        <v>2457</v>
      </c>
      <c r="P1587" s="4">
        <v>176</v>
      </c>
      <c r="Q1587" s="4" t="str">
        <f t="shared" si="80"/>
        <v>孝感市</v>
      </c>
      <c r="R1587" s="4">
        <f t="shared" si="78"/>
        <v>17</v>
      </c>
      <c r="S1587" s="4" t="str">
        <f t="shared" si="79"/>
        <v>湖北省</v>
      </c>
    </row>
    <row r="1588" spans="14:19">
      <c r="N1588" s="4">
        <v>1587</v>
      </c>
      <c r="O1588" s="4" t="s">
        <v>2458</v>
      </c>
      <c r="P1588" s="4">
        <v>177</v>
      </c>
      <c r="Q1588" s="4" t="str">
        <f t="shared" si="80"/>
        <v>荆州市</v>
      </c>
      <c r="R1588" s="4">
        <f t="shared" si="78"/>
        <v>17</v>
      </c>
      <c r="S1588" s="4" t="str">
        <f t="shared" si="79"/>
        <v>湖北省</v>
      </c>
    </row>
    <row r="1589" spans="14:19">
      <c r="N1589" s="4">
        <v>1588</v>
      </c>
      <c r="O1589" s="4" t="s">
        <v>2459</v>
      </c>
      <c r="P1589" s="4">
        <v>177</v>
      </c>
      <c r="Q1589" s="4" t="str">
        <f t="shared" si="80"/>
        <v>荆州市</v>
      </c>
      <c r="R1589" s="4">
        <f t="shared" si="78"/>
        <v>17</v>
      </c>
      <c r="S1589" s="4" t="str">
        <f t="shared" si="79"/>
        <v>湖北省</v>
      </c>
    </row>
    <row r="1590" spans="14:19">
      <c r="N1590" s="4">
        <v>1589</v>
      </c>
      <c r="O1590" s="4" t="s">
        <v>2460</v>
      </c>
      <c r="P1590" s="4">
        <v>177</v>
      </c>
      <c r="Q1590" s="4" t="str">
        <f t="shared" si="80"/>
        <v>荆州市</v>
      </c>
      <c r="R1590" s="4">
        <f t="shared" si="78"/>
        <v>17</v>
      </c>
      <c r="S1590" s="4" t="str">
        <f t="shared" si="79"/>
        <v>湖北省</v>
      </c>
    </row>
    <row r="1591" spans="14:19">
      <c r="N1591" s="4">
        <v>1590</v>
      </c>
      <c r="O1591" s="4" t="s">
        <v>2461</v>
      </c>
      <c r="P1591" s="4">
        <v>177</v>
      </c>
      <c r="Q1591" s="4" t="str">
        <f t="shared" si="80"/>
        <v>荆州市</v>
      </c>
      <c r="R1591" s="4">
        <f t="shared" si="78"/>
        <v>17</v>
      </c>
      <c r="S1591" s="4" t="str">
        <f t="shared" si="79"/>
        <v>湖北省</v>
      </c>
    </row>
    <row r="1592" spans="14:19">
      <c r="N1592" s="4">
        <v>1591</v>
      </c>
      <c r="O1592" s="4" t="s">
        <v>2462</v>
      </c>
      <c r="P1592" s="4">
        <v>177</v>
      </c>
      <c r="Q1592" s="4" t="str">
        <f t="shared" si="80"/>
        <v>荆州市</v>
      </c>
      <c r="R1592" s="4">
        <f t="shared" si="78"/>
        <v>17</v>
      </c>
      <c r="S1592" s="4" t="str">
        <f t="shared" si="79"/>
        <v>湖北省</v>
      </c>
    </row>
    <row r="1593" spans="14:19">
      <c r="N1593" s="4">
        <v>1592</v>
      </c>
      <c r="O1593" s="4" t="s">
        <v>2463</v>
      </c>
      <c r="P1593" s="4">
        <v>177</v>
      </c>
      <c r="Q1593" s="4" t="str">
        <f t="shared" si="80"/>
        <v>荆州市</v>
      </c>
      <c r="R1593" s="4">
        <f t="shared" si="78"/>
        <v>17</v>
      </c>
      <c r="S1593" s="4" t="str">
        <f t="shared" si="79"/>
        <v>湖北省</v>
      </c>
    </row>
    <row r="1594" spans="14:19">
      <c r="N1594" s="4">
        <v>1593</v>
      </c>
      <c r="O1594" s="4" t="s">
        <v>2464</v>
      </c>
      <c r="P1594" s="4">
        <v>177</v>
      </c>
      <c r="Q1594" s="4" t="str">
        <f t="shared" si="80"/>
        <v>荆州市</v>
      </c>
      <c r="R1594" s="4">
        <f t="shared" si="78"/>
        <v>17</v>
      </c>
      <c r="S1594" s="4" t="str">
        <f t="shared" si="79"/>
        <v>湖北省</v>
      </c>
    </row>
    <row r="1595" spans="14:19">
      <c r="N1595" s="4">
        <v>1594</v>
      </c>
      <c r="O1595" s="4" t="s">
        <v>2465</v>
      </c>
      <c r="P1595" s="4">
        <v>177</v>
      </c>
      <c r="Q1595" s="4" t="str">
        <f t="shared" si="80"/>
        <v>荆州市</v>
      </c>
      <c r="R1595" s="4">
        <f t="shared" si="78"/>
        <v>17</v>
      </c>
      <c r="S1595" s="4" t="str">
        <f t="shared" si="79"/>
        <v>湖北省</v>
      </c>
    </row>
    <row r="1596" spans="14:19">
      <c r="N1596" s="4">
        <v>1595</v>
      </c>
      <c r="O1596" s="4" t="s">
        <v>2466</v>
      </c>
      <c r="P1596" s="4">
        <v>178</v>
      </c>
      <c r="Q1596" s="4" t="str">
        <f t="shared" si="80"/>
        <v>黄冈市</v>
      </c>
      <c r="R1596" s="4">
        <f t="shared" si="78"/>
        <v>17</v>
      </c>
      <c r="S1596" s="4" t="str">
        <f t="shared" si="79"/>
        <v>湖北省</v>
      </c>
    </row>
    <row r="1597" spans="14:19">
      <c r="N1597" s="4">
        <v>1596</v>
      </c>
      <c r="O1597" s="4" t="s">
        <v>2467</v>
      </c>
      <c r="P1597" s="4">
        <v>178</v>
      </c>
      <c r="Q1597" s="4" t="str">
        <f t="shared" si="80"/>
        <v>黄冈市</v>
      </c>
      <c r="R1597" s="4">
        <f t="shared" si="78"/>
        <v>17</v>
      </c>
      <c r="S1597" s="4" t="str">
        <f t="shared" si="79"/>
        <v>湖北省</v>
      </c>
    </row>
    <row r="1598" spans="14:19">
      <c r="N1598" s="4">
        <v>1597</v>
      </c>
      <c r="O1598" s="4" t="s">
        <v>2468</v>
      </c>
      <c r="P1598" s="4">
        <v>178</v>
      </c>
      <c r="Q1598" s="4" t="str">
        <f t="shared" si="80"/>
        <v>黄冈市</v>
      </c>
      <c r="R1598" s="4">
        <f t="shared" si="78"/>
        <v>17</v>
      </c>
      <c r="S1598" s="4" t="str">
        <f t="shared" si="79"/>
        <v>湖北省</v>
      </c>
    </row>
    <row r="1599" spans="14:19">
      <c r="N1599" s="4">
        <v>1598</v>
      </c>
      <c r="O1599" s="4" t="s">
        <v>2469</v>
      </c>
      <c r="P1599" s="4">
        <v>178</v>
      </c>
      <c r="Q1599" s="4" t="str">
        <f t="shared" si="80"/>
        <v>黄冈市</v>
      </c>
      <c r="R1599" s="4">
        <f t="shared" si="78"/>
        <v>17</v>
      </c>
      <c r="S1599" s="4" t="str">
        <f t="shared" si="79"/>
        <v>湖北省</v>
      </c>
    </row>
    <row r="1600" spans="14:19">
      <c r="N1600" s="4">
        <v>1599</v>
      </c>
      <c r="O1600" s="4" t="s">
        <v>2470</v>
      </c>
      <c r="P1600" s="4">
        <v>178</v>
      </c>
      <c r="Q1600" s="4" t="str">
        <f t="shared" si="80"/>
        <v>黄冈市</v>
      </c>
      <c r="R1600" s="4">
        <f t="shared" si="78"/>
        <v>17</v>
      </c>
      <c r="S1600" s="4" t="str">
        <f t="shared" si="79"/>
        <v>湖北省</v>
      </c>
    </row>
    <row r="1601" spans="14:19">
      <c r="N1601" s="4">
        <v>1600</v>
      </c>
      <c r="O1601" s="4" t="s">
        <v>2471</v>
      </c>
      <c r="P1601" s="4">
        <v>178</v>
      </c>
      <c r="Q1601" s="4" t="str">
        <f t="shared" si="80"/>
        <v>黄冈市</v>
      </c>
      <c r="R1601" s="4">
        <f t="shared" si="78"/>
        <v>17</v>
      </c>
      <c r="S1601" s="4" t="str">
        <f t="shared" si="79"/>
        <v>湖北省</v>
      </c>
    </row>
    <row r="1602" spans="14:19">
      <c r="N1602" s="4">
        <v>1601</v>
      </c>
      <c r="O1602" s="4" t="s">
        <v>2472</v>
      </c>
      <c r="P1602" s="4">
        <v>178</v>
      </c>
      <c r="Q1602" s="4" t="str">
        <f t="shared" si="80"/>
        <v>黄冈市</v>
      </c>
      <c r="R1602" s="4">
        <f t="shared" ref="R1602:R1665" si="81">VLOOKUP(P1602,$I$2:$M$346,3,FALSE)</f>
        <v>17</v>
      </c>
      <c r="S1602" s="4" t="str">
        <f t="shared" ref="S1602:S1665" si="82">VLOOKUP(P1602,$I$2:$M$346,4,FALSE)</f>
        <v>湖北省</v>
      </c>
    </row>
    <row r="1603" spans="14:19">
      <c r="N1603" s="4">
        <v>1602</v>
      </c>
      <c r="O1603" s="4" t="s">
        <v>2473</v>
      </c>
      <c r="P1603" s="4">
        <v>178</v>
      </c>
      <c r="Q1603" s="4" t="str">
        <f t="shared" ref="Q1603:Q1666" si="83">VLOOKUP(P1603,$I$2:$J$346,2,FALSE)</f>
        <v>黄冈市</v>
      </c>
      <c r="R1603" s="4">
        <f t="shared" si="81"/>
        <v>17</v>
      </c>
      <c r="S1603" s="4" t="str">
        <f t="shared" si="82"/>
        <v>湖北省</v>
      </c>
    </row>
    <row r="1604" spans="14:19">
      <c r="N1604" s="4">
        <v>1603</v>
      </c>
      <c r="O1604" s="4" t="s">
        <v>2474</v>
      </c>
      <c r="P1604" s="4">
        <v>178</v>
      </c>
      <c r="Q1604" s="4" t="str">
        <f t="shared" si="83"/>
        <v>黄冈市</v>
      </c>
      <c r="R1604" s="4">
        <f t="shared" si="81"/>
        <v>17</v>
      </c>
      <c r="S1604" s="4" t="str">
        <f t="shared" si="82"/>
        <v>湖北省</v>
      </c>
    </row>
    <row r="1605" spans="14:19">
      <c r="N1605" s="4">
        <v>1604</v>
      </c>
      <c r="O1605" s="4" t="s">
        <v>2475</v>
      </c>
      <c r="P1605" s="4">
        <v>178</v>
      </c>
      <c r="Q1605" s="4" t="str">
        <f t="shared" si="83"/>
        <v>黄冈市</v>
      </c>
      <c r="R1605" s="4">
        <f t="shared" si="81"/>
        <v>17</v>
      </c>
      <c r="S1605" s="4" t="str">
        <f t="shared" si="82"/>
        <v>湖北省</v>
      </c>
    </row>
    <row r="1606" spans="14:19">
      <c r="N1606" s="4">
        <v>1605</v>
      </c>
      <c r="O1606" s="4" t="s">
        <v>2476</v>
      </c>
      <c r="P1606" s="4">
        <v>179</v>
      </c>
      <c r="Q1606" s="4" t="str">
        <f t="shared" si="83"/>
        <v>咸宁市</v>
      </c>
      <c r="R1606" s="4">
        <f t="shared" si="81"/>
        <v>17</v>
      </c>
      <c r="S1606" s="4" t="str">
        <f t="shared" si="82"/>
        <v>湖北省</v>
      </c>
    </row>
    <row r="1607" spans="14:19">
      <c r="N1607" s="4">
        <v>1606</v>
      </c>
      <c r="O1607" s="4" t="s">
        <v>2477</v>
      </c>
      <c r="P1607" s="4">
        <v>179</v>
      </c>
      <c r="Q1607" s="4" t="str">
        <f t="shared" si="83"/>
        <v>咸宁市</v>
      </c>
      <c r="R1607" s="4">
        <f t="shared" si="81"/>
        <v>17</v>
      </c>
      <c r="S1607" s="4" t="str">
        <f t="shared" si="82"/>
        <v>湖北省</v>
      </c>
    </row>
    <row r="1608" spans="14:19">
      <c r="N1608" s="4">
        <v>1607</v>
      </c>
      <c r="O1608" s="4" t="s">
        <v>2478</v>
      </c>
      <c r="P1608" s="4">
        <v>179</v>
      </c>
      <c r="Q1608" s="4" t="str">
        <f t="shared" si="83"/>
        <v>咸宁市</v>
      </c>
      <c r="R1608" s="4">
        <f t="shared" si="81"/>
        <v>17</v>
      </c>
      <c r="S1608" s="4" t="str">
        <f t="shared" si="82"/>
        <v>湖北省</v>
      </c>
    </row>
    <row r="1609" spans="14:19">
      <c r="N1609" s="4">
        <v>1608</v>
      </c>
      <c r="O1609" s="4" t="s">
        <v>2479</v>
      </c>
      <c r="P1609" s="4">
        <v>179</v>
      </c>
      <c r="Q1609" s="4" t="str">
        <f t="shared" si="83"/>
        <v>咸宁市</v>
      </c>
      <c r="R1609" s="4">
        <f t="shared" si="81"/>
        <v>17</v>
      </c>
      <c r="S1609" s="4" t="str">
        <f t="shared" si="82"/>
        <v>湖北省</v>
      </c>
    </row>
    <row r="1610" spans="14:19">
      <c r="N1610" s="4">
        <v>1609</v>
      </c>
      <c r="O1610" s="4" t="s">
        <v>2480</v>
      </c>
      <c r="P1610" s="4">
        <v>179</v>
      </c>
      <c r="Q1610" s="4" t="str">
        <f t="shared" si="83"/>
        <v>咸宁市</v>
      </c>
      <c r="R1610" s="4">
        <f t="shared" si="81"/>
        <v>17</v>
      </c>
      <c r="S1610" s="4" t="str">
        <f t="shared" si="82"/>
        <v>湖北省</v>
      </c>
    </row>
    <row r="1611" spans="14:19">
      <c r="N1611" s="4">
        <v>1610</v>
      </c>
      <c r="O1611" s="4" t="s">
        <v>2481</v>
      </c>
      <c r="P1611" s="4">
        <v>179</v>
      </c>
      <c r="Q1611" s="4" t="str">
        <f t="shared" si="83"/>
        <v>咸宁市</v>
      </c>
      <c r="R1611" s="4">
        <f t="shared" si="81"/>
        <v>17</v>
      </c>
      <c r="S1611" s="4" t="str">
        <f t="shared" si="82"/>
        <v>湖北省</v>
      </c>
    </row>
    <row r="1612" spans="14:19">
      <c r="N1612" s="4">
        <v>1611</v>
      </c>
      <c r="O1612" s="4" t="s">
        <v>2482</v>
      </c>
      <c r="P1612" s="4">
        <v>180</v>
      </c>
      <c r="Q1612" s="4" t="str">
        <f t="shared" si="83"/>
        <v>随州市</v>
      </c>
      <c r="R1612" s="4">
        <f t="shared" si="81"/>
        <v>17</v>
      </c>
      <c r="S1612" s="4" t="str">
        <f t="shared" si="82"/>
        <v>湖北省</v>
      </c>
    </row>
    <row r="1613" spans="14:19">
      <c r="N1613" s="4">
        <v>1612</v>
      </c>
      <c r="O1613" s="4" t="s">
        <v>2483</v>
      </c>
      <c r="P1613" s="4">
        <v>180</v>
      </c>
      <c r="Q1613" s="4" t="str">
        <f t="shared" si="83"/>
        <v>随州市</v>
      </c>
      <c r="R1613" s="4">
        <f t="shared" si="81"/>
        <v>17</v>
      </c>
      <c r="S1613" s="4" t="str">
        <f t="shared" si="82"/>
        <v>湖北省</v>
      </c>
    </row>
    <row r="1614" spans="14:19">
      <c r="N1614" s="4">
        <v>1613</v>
      </c>
      <c r="O1614" s="4" t="s">
        <v>2484</v>
      </c>
      <c r="P1614" s="4">
        <v>181</v>
      </c>
      <c r="Q1614" s="4" t="str">
        <f t="shared" si="83"/>
        <v>恩施土家族苗族自治州</v>
      </c>
      <c r="R1614" s="4">
        <f t="shared" si="81"/>
        <v>17</v>
      </c>
      <c r="S1614" s="4" t="str">
        <f t="shared" si="82"/>
        <v>湖北省</v>
      </c>
    </row>
    <row r="1615" spans="14:19">
      <c r="N1615" s="4">
        <v>1614</v>
      </c>
      <c r="O1615" s="4" t="s">
        <v>2485</v>
      </c>
      <c r="P1615" s="4">
        <v>181</v>
      </c>
      <c r="Q1615" s="4" t="str">
        <f t="shared" si="83"/>
        <v>恩施土家族苗族自治州</v>
      </c>
      <c r="R1615" s="4">
        <f t="shared" si="81"/>
        <v>17</v>
      </c>
      <c r="S1615" s="4" t="str">
        <f t="shared" si="82"/>
        <v>湖北省</v>
      </c>
    </row>
    <row r="1616" spans="14:19">
      <c r="N1616" s="4">
        <v>1615</v>
      </c>
      <c r="O1616" s="4" t="s">
        <v>2486</v>
      </c>
      <c r="P1616" s="4">
        <v>181</v>
      </c>
      <c r="Q1616" s="4" t="str">
        <f t="shared" si="83"/>
        <v>恩施土家族苗族自治州</v>
      </c>
      <c r="R1616" s="4">
        <f t="shared" si="81"/>
        <v>17</v>
      </c>
      <c r="S1616" s="4" t="str">
        <f t="shared" si="82"/>
        <v>湖北省</v>
      </c>
    </row>
    <row r="1617" spans="14:19">
      <c r="N1617" s="4">
        <v>1616</v>
      </c>
      <c r="O1617" s="4" t="s">
        <v>2487</v>
      </c>
      <c r="P1617" s="4">
        <v>181</v>
      </c>
      <c r="Q1617" s="4" t="str">
        <f t="shared" si="83"/>
        <v>恩施土家族苗族自治州</v>
      </c>
      <c r="R1617" s="4">
        <f t="shared" si="81"/>
        <v>17</v>
      </c>
      <c r="S1617" s="4" t="str">
        <f t="shared" si="82"/>
        <v>湖北省</v>
      </c>
    </row>
    <row r="1618" spans="14:19">
      <c r="N1618" s="4">
        <v>1617</v>
      </c>
      <c r="O1618" s="4" t="s">
        <v>2488</v>
      </c>
      <c r="P1618" s="4">
        <v>181</v>
      </c>
      <c r="Q1618" s="4" t="str">
        <f t="shared" si="83"/>
        <v>恩施土家族苗族自治州</v>
      </c>
      <c r="R1618" s="4">
        <f t="shared" si="81"/>
        <v>17</v>
      </c>
      <c r="S1618" s="4" t="str">
        <f t="shared" si="82"/>
        <v>湖北省</v>
      </c>
    </row>
    <row r="1619" spans="14:19">
      <c r="N1619" s="4">
        <v>1618</v>
      </c>
      <c r="O1619" s="4" t="s">
        <v>2489</v>
      </c>
      <c r="P1619" s="4">
        <v>181</v>
      </c>
      <c r="Q1619" s="4" t="str">
        <f t="shared" si="83"/>
        <v>恩施土家族苗族自治州</v>
      </c>
      <c r="R1619" s="4">
        <f t="shared" si="81"/>
        <v>17</v>
      </c>
      <c r="S1619" s="4" t="str">
        <f t="shared" si="82"/>
        <v>湖北省</v>
      </c>
    </row>
    <row r="1620" spans="14:19">
      <c r="N1620" s="4">
        <v>1619</v>
      </c>
      <c r="O1620" s="4" t="s">
        <v>2490</v>
      </c>
      <c r="P1620" s="4">
        <v>181</v>
      </c>
      <c r="Q1620" s="4" t="str">
        <f t="shared" si="83"/>
        <v>恩施土家族苗族自治州</v>
      </c>
      <c r="R1620" s="4">
        <f t="shared" si="81"/>
        <v>17</v>
      </c>
      <c r="S1620" s="4" t="str">
        <f t="shared" si="82"/>
        <v>湖北省</v>
      </c>
    </row>
    <row r="1621" spans="14:19">
      <c r="N1621" s="4">
        <v>1620</v>
      </c>
      <c r="O1621" s="4" t="s">
        <v>2491</v>
      </c>
      <c r="P1621" s="4">
        <v>181</v>
      </c>
      <c r="Q1621" s="4" t="str">
        <f t="shared" si="83"/>
        <v>恩施土家族苗族自治州</v>
      </c>
      <c r="R1621" s="4">
        <f t="shared" si="81"/>
        <v>17</v>
      </c>
      <c r="S1621" s="4" t="str">
        <f t="shared" si="82"/>
        <v>湖北省</v>
      </c>
    </row>
    <row r="1622" spans="14:19">
      <c r="N1622" s="4">
        <v>1621</v>
      </c>
      <c r="O1622" s="4" t="s">
        <v>2492</v>
      </c>
      <c r="P1622" s="4">
        <v>182</v>
      </c>
      <c r="Q1622" s="4" t="str">
        <f t="shared" si="83"/>
        <v>神农架</v>
      </c>
      <c r="R1622" s="4">
        <f t="shared" si="81"/>
        <v>17</v>
      </c>
      <c r="S1622" s="4" t="str">
        <f t="shared" si="82"/>
        <v>湖北省</v>
      </c>
    </row>
    <row r="1623" spans="14:19">
      <c r="N1623" s="4">
        <v>1622</v>
      </c>
      <c r="O1623" s="4" t="s">
        <v>2493</v>
      </c>
      <c r="P1623" s="4">
        <v>182</v>
      </c>
      <c r="Q1623" s="4" t="str">
        <f t="shared" si="83"/>
        <v>神农架</v>
      </c>
      <c r="R1623" s="4">
        <f t="shared" si="81"/>
        <v>17</v>
      </c>
      <c r="S1623" s="4" t="str">
        <f t="shared" si="82"/>
        <v>湖北省</v>
      </c>
    </row>
    <row r="1624" spans="14:19">
      <c r="N1624" s="4">
        <v>1623</v>
      </c>
      <c r="O1624" s="4" t="s">
        <v>2494</v>
      </c>
      <c r="P1624" s="4">
        <v>182</v>
      </c>
      <c r="Q1624" s="4" t="str">
        <f t="shared" si="83"/>
        <v>神农架</v>
      </c>
      <c r="R1624" s="4">
        <f t="shared" si="81"/>
        <v>17</v>
      </c>
      <c r="S1624" s="4" t="str">
        <f t="shared" si="82"/>
        <v>湖北省</v>
      </c>
    </row>
    <row r="1625" spans="14:19">
      <c r="N1625" s="4">
        <v>1624</v>
      </c>
      <c r="O1625" s="4" t="s">
        <v>2495</v>
      </c>
      <c r="P1625" s="4">
        <v>182</v>
      </c>
      <c r="Q1625" s="4" t="str">
        <f t="shared" si="83"/>
        <v>神农架</v>
      </c>
      <c r="R1625" s="4">
        <f t="shared" si="81"/>
        <v>17</v>
      </c>
      <c r="S1625" s="4" t="str">
        <f t="shared" si="82"/>
        <v>湖北省</v>
      </c>
    </row>
    <row r="1626" spans="14:19">
      <c r="N1626" s="4">
        <v>1625</v>
      </c>
      <c r="O1626" s="4" t="s">
        <v>2496</v>
      </c>
      <c r="P1626" s="4">
        <v>183</v>
      </c>
      <c r="Q1626" s="4" t="str">
        <f t="shared" si="83"/>
        <v>长沙市</v>
      </c>
      <c r="R1626" s="4">
        <f t="shared" si="81"/>
        <v>18</v>
      </c>
      <c r="S1626" s="4" t="str">
        <f t="shared" si="82"/>
        <v>湖南省</v>
      </c>
    </row>
    <row r="1627" spans="14:19">
      <c r="N1627" s="4">
        <v>1626</v>
      </c>
      <c r="O1627" s="4" t="s">
        <v>2497</v>
      </c>
      <c r="P1627" s="4">
        <v>183</v>
      </c>
      <c r="Q1627" s="4" t="str">
        <f t="shared" si="83"/>
        <v>长沙市</v>
      </c>
      <c r="R1627" s="4">
        <f t="shared" si="81"/>
        <v>18</v>
      </c>
      <c r="S1627" s="4" t="str">
        <f t="shared" si="82"/>
        <v>湖南省</v>
      </c>
    </row>
    <row r="1628" spans="14:19">
      <c r="N1628" s="4">
        <v>1627</v>
      </c>
      <c r="O1628" s="4" t="s">
        <v>2498</v>
      </c>
      <c r="P1628" s="4">
        <v>183</v>
      </c>
      <c r="Q1628" s="4" t="str">
        <f t="shared" si="83"/>
        <v>长沙市</v>
      </c>
      <c r="R1628" s="4">
        <f t="shared" si="81"/>
        <v>18</v>
      </c>
      <c r="S1628" s="4" t="str">
        <f t="shared" si="82"/>
        <v>湖南省</v>
      </c>
    </row>
    <row r="1629" spans="14:19">
      <c r="N1629" s="4">
        <v>1628</v>
      </c>
      <c r="O1629" s="4" t="s">
        <v>2499</v>
      </c>
      <c r="P1629" s="4">
        <v>183</v>
      </c>
      <c r="Q1629" s="4" t="str">
        <f t="shared" si="83"/>
        <v>长沙市</v>
      </c>
      <c r="R1629" s="4">
        <f t="shared" si="81"/>
        <v>18</v>
      </c>
      <c r="S1629" s="4" t="str">
        <f t="shared" si="82"/>
        <v>湖南省</v>
      </c>
    </row>
    <row r="1630" spans="14:19">
      <c r="N1630" s="4">
        <v>1629</v>
      </c>
      <c r="O1630" s="4" t="s">
        <v>2500</v>
      </c>
      <c r="P1630" s="4">
        <v>183</v>
      </c>
      <c r="Q1630" s="4" t="str">
        <f t="shared" si="83"/>
        <v>长沙市</v>
      </c>
      <c r="R1630" s="4">
        <f t="shared" si="81"/>
        <v>18</v>
      </c>
      <c r="S1630" s="4" t="str">
        <f t="shared" si="82"/>
        <v>湖南省</v>
      </c>
    </row>
    <row r="1631" spans="14:19">
      <c r="N1631" s="4">
        <v>1630</v>
      </c>
      <c r="O1631" s="4" t="s">
        <v>2501</v>
      </c>
      <c r="P1631" s="4">
        <v>183</v>
      </c>
      <c r="Q1631" s="4" t="str">
        <f t="shared" si="83"/>
        <v>长沙市</v>
      </c>
      <c r="R1631" s="4">
        <f t="shared" si="81"/>
        <v>18</v>
      </c>
      <c r="S1631" s="4" t="str">
        <f t="shared" si="82"/>
        <v>湖南省</v>
      </c>
    </row>
    <row r="1632" spans="14:19">
      <c r="N1632" s="4">
        <v>1631</v>
      </c>
      <c r="O1632" s="4" t="s">
        <v>2502</v>
      </c>
      <c r="P1632" s="4">
        <v>183</v>
      </c>
      <c r="Q1632" s="4" t="str">
        <f t="shared" si="83"/>
        <v>长沙市</v>
      </c>
      <c r="R1632" s="4">
        <f t="shared" si="81"/>
        <v>18</v>
      </c>
      <c r="S1632" s="4" t="str">
        <f t="shared" si="82"/>
        <v>湖南省</v>
      </c>
    </row>
    <row r="1633" spans="14:19">
      <c r="N1633" s="4">
        <v>1632</v>
      </c>
      <c r="O1633" s="4" t="s">
        <v>2503</v>
      </c>
      <c r="P1633" s="4">
        <v>183</v>
      </c>
      <c r="Q1633" s="4" t="str">
        <f t="shared" si="83"/>
        <v>长沙市</v>
      </c>
      <c r="R1633" s="4">
        <f t="shared" si="81"/>
        <v>18</v>
      </c>
      <c r="S1633" s="4" t="str">
        <f t="shared" si="82"/>
        <v>湖南省</v>
      </c>
    </row>
    <row r="1634" spans="14:19">
      <c r="N1634" s="4">
        <v>1633</v>
      </c>
      <c r="O1634" s="4" t="s">
        <v>2504</v>
      </c>
      <c r="P1634" s="4">
        <v>183</v>
      </c>
      <c r="Q1634" s="4" t="str">
        <f t="shared" si="83"/>
        <v>长沙市</v>
      </c>
      <c r="R1634" s="4">
        <f t="shared" si="81"/>
        <v>18</v>
      </c>
      <c r="S1634" s="4" t="str">
        <f t="shared" si="82"/>
        <v>湖南省</v>
      </c>
    </row>
    <row r="1635" spans="14:19">
      <c r="N1635" s="4">
        <v>1634</v>
      </c>
      <c r="O1635" s="4" t="s">
        <v>2505</v>
      </c>
      <c r="P1635" s="4">
        <v>184</v>
      </c>
      <c r="Q1635" s="4" t="str">
        <f t="shared" si="83"/>
        <v>株洲市</v>
      </c>
      <c r="R1635" s="4">
        <f t="shared" si="81"/>
        <v>18</v>
      </c>
      <c r="S1635" s="4" t="str">
        <f t="shared" si="82"/>
        <v>湖南省</v>
      </c>
    </row>
    <row r="1636" spans="14:19">
      <c r="N1636" s="4">
        <v>1635</v>
      </c>
      <c r="O1636" s="4" t="s">
        <v>2506</v>
      </c>
      <c r="P1636" s="4">
        <v>184</v>
      </c>
      <c r="Q1636" s="4" t="str">
        <f t="shared" si="83"/>
        <v>株洲市</v>
      </c>
      <c r="R1636" s="4">
        <f t="shared" si="81"/>
        <v>18</v>
      </c>
      <c r="S1636" s="4" t="str">
        <f t="shared" si="82"/>
        <v>湖南省</v>
      </c>
    </row>
    <row r="1637" spans="14:19">
      <c r="N1637" s="4">
        <v>1636</v>
      </c>
      <c r="O1637" s="4" t="s">
        <v>2507</v>
      </c>
      <c r="P1637" s="4">
        <v>184</v>
      </c>
      <c r="Q1637" s="4" t="str">
        <f t="shared" si="83"/>
        <v>株洲市</v>
      </c>
      <c r="R1637" s="4">
        <f t="shared" si="81"/>
        <v>18</v>
      </c>
      <c r="S1637" s="4" t="str">
        <f t="shared" si="82"/>
        <v>湖南省</v>
      </c>
    </row>
    <row r="1638" spans="14:19">
      <c r="N1638" s="4">
        <v>1637</v>
      </c>
      <c r="O1638" s="4" t="s">
        <v>2508</v>
      </c>
      <c r="P1638" s="4">
        <v>184</v>
      </c>
      <c r="Q1638" s="4" t="str">
        <f t="shared" si="83"/>
        <v>株洲市</v>
      </c>
      <c r="R1638" s="4">
        <f t="shared" si="81"/>
        <v>18</v>
      </c>
      <c r="S1638" s="4" t="str">
        <f t="shared" si="82"/>
        <v>湖南省</v>
      </c>
    </row>
    <row r="1639" spans="14:19">
      <c r="N1639" s="4">
        <v>1638</v>
      </c>
      <c r="O1639" s="4" t="s">
        <v>2509</v>
      </c>
      <c r="P1639" s="4">
        <v>184</v>
      </c>
      <c r="Q1639" s="4" t="str">
        <f t="shared" si="83"/>
        <v>株洲市</v>
      </c>
      <c r="R1639" s="4">
        <f t="shared" si="81"/>
        <v>18</v>
      </c>
      <c r="S1639" s="4" t="str">
        <f t="shared" si="82"/>
        <v>湖南省</v>
      </c>
    </row>
    <row r="1640" spans="14:19">
      <c r="N1640" s="4">
        <v>1639</v>
      </c>
      <c r="O1640" s="4" t="s">
        <v>2510</v>
      </c>
      <c r="P1640" s="4">
        <v>184</v>
      </c>
      <c r="Q1640" s="4" t="str">
        <f t="shared" si="83"/>
        <v>株洲市</v>
      </c>
      <c r="R1640" s="4">
        <f t="shared" si="81"/>
        <v>18</v>
      </c>
      <c r="S1640" s="4" t="str">
        <f t="shared" si="82"/>
        <v>湖南省</v>
      </c>
    </row>
    <row r="1641" spans="14:19">
      <c r="N1641" s="4">
        <v>1640</v>
      </c>
      <c r="O1641" s="4" t="s">
        <v>2511</v>
      </c>
      <c r="P1641" s="4">
        <v>184</v>
      </c>
      <c r="Q1641" s="4" t="str">
        <f t="shared" si="83"/>
        <v>株洲市</v>
      </c>
      <c r="R1641" s="4">
        <f t="shared" si="81"/>
        <v>18</v>
      </c>
      <c r="S1641" s="4" t="str">
        <f t="shared" si="82"/>
        <v>湖南省</v>
      </c>
    </row>
    <row r="1642" spans="14:19">
      <c r="N1642" s="4">
        <v>1641</v>
      </c>
      <c r="O1642" s="4" t="s">
        <v>2512</v>
      </c>
      <c r="P1642" s="4">
        <v>184</v>
      </c>
      <c r="Q1642" s="4" t="str">
        <f t="shared" si="83"/>
        <v>株洲市</v>
      </c>
      <c r="R1642" s="4">
        <f t="shared" si="81"/>
        <v>18</v>
      </c>
      <c r="S1642" s="4" t="str">
        <f t="shared" si="82"/>
        <v>湖南省</v>
      </c>
    </row>
    <row r="1643" spans="14:19">
      <c r="N1643" s="4">
        <v>1642</v>
      </c>
      <c r="O1643" s="4" t="s">
        <v>2513</v>
      </c>
      <c r="P1643" s="4">
        <v>184</v>
      </c>
      <c r="Q1643" s="4" t="str">
        <f t="shared" si="83"/>
        <v>株洲市</v>
      </c>
      <c r="R1643" s="4">
        <f t="shared" si="81"/>
        <v>18</v>
      </c>
      <c r="S1643" s="4" t="str">
        <f t="shared" si="82"/>
        <v>湖南省</v>
      </c>
    </row>
    <row r="1644" spans="14:19">
      <c r="N1644" s="4">
        <v>1643</v>
      </c>
      <c r="O1644" s="4" t="s">
        <v>2514</v>
      </c>
      <c r="P1644" s="4">
        <v>185</v>
      </c>
      <c r="Q1644" s="4" t="str">
        <f t="shared" si="83"/>
        <v>湘潭市</v>
      </c>
      <c r="R1644" s="4">
        <f t="shared" si="81"/>
        <v>18</v>
      </c>
      <c r="S1644" s="4" t="str">
        <f t="shared" si="82"/>
        <v>湖南省</v>
      </c>
    </row>
    <row r="1645" spans="14:19">
      <c r="N1645" s="4">
        <v>1644</v>
      </c>
      <c r="O1645" s="4" t="s">
        <v>2515</v>
      </c>
      <c r="P1645" s="4">
        <v>185</v>
      </c>
      <c r="Q1645" s="4" t="str">
        <f t="shared" si="83"/>
        <v>湘潭市</v>
      </c>
      <c r="R1645" s="4">
        <f t="shared" si="81"/>
        <v>18</v>
      </c>
      <c r="S1645" s="4" t="str">
        <f t="shared" si="82"/>
        <v>湖南省</v>
      </c>
    </row>
    <row r="1646" spans="14:19">
      <c r="N1646" s="4">
        <v>1645</v>
      </c>
      <c r="O1646" s="4" t="s">
        <v>2516</v>
      </c>
      <c r="P1646" s="4">
        <v>185</v>
      </c>
      <c r="Q1646" s="4" t="str">
        <f t="shared" si="83"/>
        <v>湘潭市</v>
      </c>
      <c r="R1646" s="4">
        <f t="shared" si="81"/>
        <v>18</v>
      </c>
      <c r="S1646" s="4" t="str">
        <f t="shared" si="82"/>
        <v>湖南省</v>
      </c>
    </row>
    <row r="1647" spans="14:19">
      <c r="N1647" s="4">
        <v>1646</v>
      </c>
      <c r="O1647" s="4" t="s">
        <v>2517</v>
      </c>
      <c r="P1647" s="4">
        <v>185</v>
      </c>
      <c r="Q1647" s="4" t="str">
        <f t="shared" si="83"/>
        <v>湘潭市</v>
      </c>
      <c r="R1647" s="4">
        <f t="shared" si="81"/>
        <v>18</v>
      </c>
      <c r="S1647" s="4" t="str">
        <f t="shared" si="82"/>
        <v>湖南省</v>
      </c>
    </row>
    <row r="1648" spans="14:19">
      <c r="N1648" s="4">
        <v>1647</v>
      </c>
      <c r="O1648" s="4" t="s">
        <v>2518</v>
      </c>
      <c r="P1648" s="4">
        <v>185</v>
      </c>
      <c r="Q1648" s="4" t="str">
        <f t="shared" si="83"/>
        <v>湘潭市</v>
      </c>
      <c r="R1648" s="4">
        <f t="shared" si="81"/>
        <v>18</v>
      </c>
      <c r="S1648" s="4" t="str">
        <f t="shared" si="82"/>
        <v>湖南省</v>
      </c>
    </row>
    <row r="1649" spans="14:19">
      <c r="N1649" s="4">
        <v>1648</v>
      </c>
      <c r="O1649" s="4" t="s">
        <v>2519</v>
      </c>
      <c r="P1649" s="4">
        <v>186</v>
      </c>
      <c r="Q1649" s="4" t="str">
        <f t="shared" si="83"/>
        <v>衡阳市</v>
      </c>
      <c r="R1649" s="4">
        <f t="shared" si="81"/>
        <v>18</v>
      </c>
      <c r="S1649" s="4" t="str">
        <f t="shared" si="82"/>
        <v>湖南省</v>
      </c>
    </row>
    <row r="1650" spans="14:19">
      <c r="N1650" s="4">
        <v>1649</v>
      </c>
      <c r="O1650" s="4" t="s">
        <v>2520</v>
      </c>
      <c r="P1650" s="4">
        <v>186</v>
      </c>
      <c r="Q1650" s="4" t="str">
        <f t="shared" si="83"/>
        <v>衡阳市</v>
      </c>
      <c r="R1650" s="4">
        <f t="shared" si="81"/>
        <v>18</v>
      </c>
      <c r="S1650" s="4" t="str">
        <f t="shared" si="82"/>
        <v>湖南省</v>
      </c>
    </row>
    <row r="1651" spans="14:19">
      <c r="N1651" s="4">
        <v>1650</v>
      </c>
      <c r="O1651" s="4" t="s">
        <v>2521</v>
      </c>
      <c r="P1651" s="4">
        <v>186</v>
      </c>
      <c r="Q1651" s="4" t="str">
        <f t="shared" si="83"/>
        <v>衡阳市</v>
      </c>
      <c r="R1651" s="4">
        <f t="shared" si="81"/>
        <v>18</v>
      </c>
      <c r="S1651" s="4" t="str">
        <f t="shared" si="82"/>
        <v>湖南省</v>
      </c>
    </row>
    <row r="1652" spans="14:19">
      <c r="N1652" s="4">
        <v>1651</v>
      </c>
      <c r="O1652" s="4" t="s">
        <v>2522</v>
      </c>
      <c r="P1652" s="4">
        <v>186</v>
      </c>
      <c r="Q1652" s="4" t="str">
        <f t="shared" si="83"/>
        <v>衡阳市</v>
      </c>
      <c r="R1652" s="4">
        <f t="shared" si="81"/>
        <v>18</v>
      </c>
      <c r="S1652" s="4" t="str">
        <f t="shared" si="82"/>
        <v>湖南省</v>
      </c>
    </row>
    <row r="1653" spans="14:19">
      <c r="N1653" s="4">
        <v>1652</v>
      </c>
      <c r="O1653" s="4" t="s">
        <v>2523</v>
      </c>
      <c r="P1653" s="4">
        <v>186</v>
      </c>
      <c r="Q1653" s="4" t="str">
        <f t="shared" si="83"/>
        <v>衡阳市</v>
      </c>
      <c r="R1653" s="4">
        <f t="shared" si="81"/>
        <v>18</v>
      </c>
      <c r="S1653" s="4" t="str">
        <f t="shared" si="82"/>
        <v>湖南省</v>
      </c>
    </row>
    <row r="1654" spans="14:19">
      <c r="N1654" s="4">
        <v>1653</v>
      </c>
      <c r="O1654" s="4" t="s">
        <v>2524</v>
      </c>
      <c r="P1654" s="4">
        <v>186</v>
      </c>
      <c r="Q1654" s="4" t="str">
        <f t="shared" si="83"/>
        <v>衡阳市</v>
      </c>
      <c r="R1654" s="4">
        <f t="shared" si="81"/>
        <v>18</v>
      </c>
      <c r="S1654" s="4" t="str">
        <f t="shared" si="82"/>
        <v>湖南省</v>
      </c>
    </row>
    <row r="1655" spans="14:19">
      <c r="N1655" s="4">
        <v>1654</v>
      </c>
      <c r="O1655" s="4" t="s">
        <v>2525</v>
      </c>
      <c r="P1655" s="4">
        <v>186</v>
      </c>
      <c r="Q1655" s="4" t="str">
        <f t="shared" si="83"/>
        <v>衡阳市</v>
      </c>
      <c r="R1655" s="4">
        <f t="shared" si="81"/>
        <v>18</v>
      </c>
      <c r="S1655" s="4" t="str">
        <f t="shared" si="82"/>
        <v>湖南省</v>
      </c>
    </row>
    <row r="1656" spans="14:19">
      <c r="N1656" s="4">
        <v>1655</v>
      </c>
      <c r="O1656" s="4" t="s">
        <v>2526</v>
      </c>
      <c r="P1656" s="4">
        <v>186</v>
      </c>
      <c r="Q1656" s="4" t="str">
        <f t="shared" si="83"/>
        <v>衡阳市</v>
      </c>
      <c r="R1656" s="4">
        <f t="shared" si="81"/>
        <v>18</v>
      </c>
      <c r="S1656" s="4" t="str">
        <f t="shared" si="82"/>
        <v>湖南省</v>
      </c>
    </row>
    <row r="1657" spans="14:19">
      <c r="N1657" s="4">
        <v>1656</v>
      </c>
      <c r="O1657" s="4" t="s">
        <v>2527</v>
      </c>
      <c r="P1657" s="4">
        <v>186</v>
      </c>
      <c r="Q1657" s="4" t="str">
        <f t="shared" si="83"/>
        <v>衡阳市</v>
      </c>
      <c r="R1657" s="4">
        <f t="shared" si="81"/>
        <v>18</v>
      </c>
      <c r="S1657" s="4" t="str">
        <f t="shared" si="82"/>
        <v>湖南省</v>
      </c>
    </row>
    <row r="1658" spans="14:19">
      <c r="N1658" s="4">
        <v>1657</v>
      </c>
      <c r="O1658" s="4" t="s">
        <v>2528</v>
      </c>
      <c r="P1658" s="4">
        <v>186</v>
      </c>
      <c r="Q1658" s="4" t="str">
        <f t="shared" si="83"/>
        <v>衡阳市</v>
      </c>
      <c r="R1658" s="4">
        <f t="shared" si="81"/>
        <v>18</v>
      </c>
      <c r="S1658" s="4" t="str">
        <f t="shared" si="82"/>
        <v>湖南省</v>
      </c>
    </row>
    <row r="1659" spans="14:19">
      <c r="N1659" s="4">
        <v>1658</v>
      </c>
      <c r="O1659" s="4" t="s">
        <v>2529</v>
      </c>
      <c r="P1659" s="4">
        <v>186</v>
      </c>
      <c r="Q1659" s="4" t="str">
        <f t="shared" si="83"/>
        <v>衡阳市</v>
      </c>
      <c r="R1659" s="4">
        <f t="shared" si="81"/>
        <v>18</v>
      </c>
      <c r="S1659" s="4" t="str">
        <f t="shared" si="82"/>
        <v>湖南省</v>
      </c>
    </row>
    <row r="1660" spans="14:19">
      <c r="N1660" s="4">
        <v>1659</v>
      </c>
      <c r="O1660" s="4" t="s">
        <v>2530</v>
      </c>
      <c r="P1660" s="4">
        <v>186</v>
      </c>
      <c r="Q1660" s="4" t="str">
        <f t="shared" si="83"/>
        <v>衡阳市</v>
      </c>
      <c r="R1660" s="4">
        <f t="shared" si="81"/>
        <v>18</v>
      </c>
      <c r="S1660" s="4" t="str">
        <f t="shared" si="82"/>
        <v>湖南省</v>
      </c>
    </row>
    <row r="1661" spans="14:19">
      <c r="N1661" s="4">
        <v>1660</v>
      </c>
      <c r="O1661" s="4" t="s">
        <v>2531</v>
      </c>
      <c r="P1661" s="4">
        <v>187</v>
      </c>
      <c r="Q1661" s="4" t="str">
        <f t="shared" si="83"/>
        <v>邵阳市</v>
      </c>
      <c r="R1661" s="4">
        <f t="shared" si="81"/>
        <v>18</v>
      </c>
      <c r="S1661" s="4" t="str">
        <f t="shared" si="82"/>
        <v>湖南省</v>
      </c>
    </row>
    <row r="1662" spans="14:19">
      <c r="N1662" s="4">
        <v>1661</v>
      </c>
      <c r="O1662" s="4" t="s">
        <v>2532</v>
      </c>
      <c r="P1662" s="4">
        <v>187</v>
      </c>
      <c r="Q1662" s="4" t="str">
        <f t="shared" si="83"/>
        <v>邵阳市</v>
      </c>
      <c r="R1662" s="4">
        <f t="shared" si="81"/>
        <v>18</v>
      </c>
      <c r="S1662" s="4" t="str">
        <f t="shared" si="82"/>
        <v>湖南省</v>
      </c>
    </row>
    <row r="1663" spans="14:19">
      <c r="N1663" s="4">
        <v>1662</v>
      </c>
      <c r="O1663" s="4" t="s">
        <v>2533</v>
      </c>
      <c r="P1663" s="4">
        <v>187</v>
      </c>
      <c r="Q1663" s="4" t="str">
        <f t="shared" si="83"/>
        <v>邵阳市</v>
      </c>
      <c r="R1663" s="4">
        <f t="shared" si="81"/>
        <v>18</v>
      </c>
      <c r="S1663" s="4" t="str">
        <f t="shared" si="82"/>
        <v>湖南省</v>
      </c>
    </row>
    <row r="1664" spans="14:19">
      <c r="N1664" s="4">
        <v>1663</v>
      </c>
      <c r="O1664" s="4" t="s">
        <v>2534</v>
      </c>
      <c r="P1664" s="4">
        <v>187</v>
      </c>
      <c r="Q1664" s="4" t="str">
        <f t="shared" si="83"/>
        <v>邵阳市</v>
      </c>
      <c r="R1664" s="4">
        <f t="shared" si="81"/>
        <v>18</v>
      </c>
      <c r="S1664" s="4" t="str">
        <f t="shared" si="82"/>
        <v>湖南省</v>
      </c>
    </row>
    <row r="1665" spans="14:19">
      <c r="N1665" s="4">
        <v>1664</v>
      </c>
      <c r="O1665" s="4" t="s">
        <v>2535</v>
      </c>
      <c r="P1665" s="4">
        <v>187</v>
      </c>
      <c r="Q1665" s="4" t="str">
        <f t="shared" si="83"/>
        <v>邵阳市</v>
      </c>
      <c r="R1665" s="4">
        <f t="shared" si="81"/>
        <v>18</v>
      </c>
      <c r="S1665" s="4" t="str">
        <f t="shared" si="82"/>
        <v>湖南省</v>
      </c>
    </row>
    <row r="1666" spans="14:19">
      <c r="N1666" s="4">
        <v>1665</v>
      </c>
      <c r="O1666" s="4" t="s">
        <v>2536</v>
      </c>
      <c r="P1666" s="4">
        <v>187</v>
      </c>
      <c r="Q1666" s="4" t="str">
        <f t="shared" si="83"/>
        <v>邵阳市</v>
      </c>
      <c r="R1666" s="4">
        <f t="shared" ref="R1666:R1729" si="84">VLOOKUP(P1666,$I$2:$M$346,3,FALSE)</f>
        <v>18</v>
      </c>
      <c r="S1666" s="4" t="str">
        <f t="shared" ref="S1666:S1729" si="85">VLOOKUP(P1666,$I$2:$M$346,4,FALSE)</f>
        <v>湖南省</v>
      </c>
    </row>
    <row r="1667" spans="14:19">
      <c r="N1667" s="4">
        <v>1666</v>
      </c>
      <c r="O1667" s="4" t="s">
        <v>2537</v>
      </c>
      <c r="P1667" s="4">
        <v>187</v>
      </c>
      <c r="Q1667" s="4" t="str">
        <f t="shared" ref="Q1667:Q1730" si="86">VLOOKUP(P1667,$I$2:$J$346,2,FALSE)</f>
        <v>邵阳市</v>
      </c>
      <c r="R1667" s="4">
        <f t="shared" si="84"/>
        <v>18</v>
      </c>
      <c r="S1667" s="4" t="str">
        <f t="shared" si="85"/>
        <v>湖南省</v>
      </c>
    </row>
    <row r="1668" spans="14:19">
      <c r="N1668" s="4">
        <v>1667</v>
      </c>
      <c r="O1668" s="4" t="s">
        <v>2538</v>
      </c>
      <c r="P1668" s="4">
        <v>187</v>
      </c>
      <c r="Q1668" s="4" t="str">
        <f t="shared" si="86"/>
        <v>邵阳市</v>
      </c>
      <c r="R1668" s="4">
        <f t="shared" si="84"/>
        <v>18</v>
      </c>
      <c r="S1668" s="4" t="str">
        <f t="shared" si="85"/>
        <v>湖南省</v>
      </c>
    </row>
    <row r="1669" spans="14:19">
      <c r="N1669" s="4">
        <v>1668</v>
      </c>
      <c r="O1669" s="4" t="s">
        <v>2539</v>
      </c>
      <c r="P1669" s="4">
        <v>187</v>
      </c>
      <c r="Q1669" s="4" t="str">
        <f t="shared" si="86"/>
        <v>邵阳市</v>
      </c>
      <c r="R1669" s="4">
        <f t="shared" si="84"/>
        <v>18</v>
      </c>
      <c r="S1669" s="4" t="str">
        <f t="shared" si="85"/>
        <v>湖南省</v>
      </c>
    </row>
    <row r="1670" spans="14:19">
      <c r="N1670" s="4">
        <v>1669</v>
      </c>
      <c r="O1670" s="4" t="s">
        <v>2540</v>
      </c>
      <c r="P1670" s="4">
        <v>187</v>
      </c>
      <c r="Q1670" s="4" t="str">
        <f t="shared" si="86"/>
        <v>邵阳市</v>
      </c>
      <c r="R1670" s="4">
        <f t="shared" si="84"/>
        <v>18</v>
      </c>
      <c r="S1670" s="4" t="str">
        <f t="shared" si="85"/>
        <v>湖南省</v>
      </c>
    </row>
    <row r="1671" spans="14:19">
      <c r="N1671" s="4">
        <v>1670</v>
      </c>
      <c r="O1671" s="4" t="s">
        <v>2541</v>
      </c>
      <c r="P1671" s="4">
        <v>187</v>
      </c>
      <c r="Q1671" s="4" t="str">
        <f t="shared" si="86"/>
        <v>邵阳市</v>
      </c>
      <c r="R1671" s="4">
        <f t="shared" si="84"/>
        <v>18</v>
      </c>
      <c r="S1671" s="4" t="str">
        <f t="shared" si="85"/>
        <v>湖南省</v>
      </c>
    </row>
    <row r="1672" spans="14:19">
      <c r="N1672" s="4">
        <v>1671</v>
      </c>
      <c r="O1672" s="4" t="s">
        <v>2542</v>
      </c>
      <c r="P1672" s="4">
        <v>187</v>
      </c>
      <c r="Q1672" s="4" t="str">
        <f t="shared" si="86"/>
        <v>邵阳市</v>
      </c>
      <c r="R1672" s="4">
        <f t="shared" si="84"/>
        <v>18</v>
      </c>
      <c r="S1672" s="4" t="str">
        <f t="shared" si="85"/>
        <v>湖南省</v>
      </c>
    </row>
    <row r="1673" spans="14:19">
      <c r="N1673" s="4">
        <v>1672</v>
      </c>
      <c r="O1673" s="4" t="s">
        <v>2543</v>
      </c>
      <c r="P1673" s="4">
        <v>188</v>
      </c>
      <c r="Q1673" s="4" t="str">
        <f t="shared" si="86"/>
        <v>岳阳市</v>
      </c>
      <c r="R1673" s="4">
        <f t="shared" si="84"/>
        <v>18</v>
      </c>
      <c r="S1673" s="4" t="str">
        <f t="shared" si="85"/>
        <v>湖南省</v>
      </c>
    </row>
    <row r="1674" spans="14:19">
      <c r="N1674" s="4">
        <v>1673</v>
      </c>
      <c r="O1674" s="4" t="s">
        <v>2544</v>
      </c>
      <c r="P1674" s="4">
        <v>188</v>
      </c>
      <c r="Q1674" s="4" t="str">
        <f t="shared" si="86"/>
        <v>岳阳市</v>
      </c>
      <c r="R1674" s="4">
        <f t="shared" si="84"/>
        <v>18</v>
      </c>
      <c r="S1674" s="4" t="str">
        <f t="shared" si="85"/>
        <v>湖南省</v>
      </c>
    </row>
    <row r="1675" spans="14:19">
      <c r="N1675" s="4">
        <v>1674</v>
      </c>
      <c r="O1675" s="4" t="s">
        <v>2545</v>
      </c>
      <c r="P1675" s="4">
        <v>188</v>
      </c>
      <c r="Q1675" s="4" t="str">
        <f t="shared" si="86"/>
        <v>岳阳市</v>
      </c>
      <c r="R1675" s="4">
        <f t="shared" si="84"/>
        <v>18</v>
      </c>
      <c r="S1675" s="4" t="str">
        <f t="shared" si="85"/>
        <v>湖南省</v>
      </c>
    </row>
    <row r="1676" spans="14:19">
      <c r="N1676" s="4">
        <v>1675</v>
      </c>
      <c r="O1676" s="4" t="s">
        <v>2546</v>
      </c>
      <c r="P1676" s="4">
        <v>188</v>
      </c>
      <c r="Q1676" s="4" t="str">
        <f t="shared" si="86"/>
        <v>岳阳市</v>
      </c>
      <c r="R1676" s="4">
        <f t="shared" si="84"/>
        <v>18</v>
      </c>
      <c r="S1676" s="4" t="str">
        <f t="shared" si="85"/>
        <v>湖南省</v>
      </c>
    </row>
    <row r="1677" spans="14:19">
      <c r="N1677" s="4">
        <v>1676</v>
      </c>
      <c r="O1677" s="4" t="s">
        <v>2547</v>
      </c>
      <c r="P1677" s="4">
        <v>188</v>
      </c>
      <c r="Q1677" s="4" t="str">
        <f t="shared" si="86"/>
        <v>岳阳市</v>
      </c>
      <c r="R1677" s="4">
        <f t="shared" si="84"/>
        <v>18</v>
      </c>
      <c r="S1677" s="4" t="str">
        <f t="shared" si="85"/>
        <v>湖南省</v>
      </c>
    </row>
    <row r="1678" spans="14:19">
      <c r="N1678" s="4">
        <v>1677</v>
      </c>
      <c r="O1678" s="4" t="s">
        <v>2548</v>
      </c>
      <c r="P1678" s="4">
        <v>188</v>
      </c>
      <c r="Q1678" s="4" t="str">
        <f t="shared" si="86"/>
        <v>岳阳市</v>
      </c>
      <c r="R1678" s="4">
        <f t="shared" si="84"/>
        <v>18</v>
      </c>
      <c r="S1678" s="4" t="str">
        <f t="shared" si="85"/>
        <v>湖南省</v>
      </c>
    </row>
    <row r="1679" spans="14:19">
      <c r="N1679" s="4">
        <v>1678</v>
      </c>
      <c r="O1679" s="4" t="s">
        <v>2549</v>
      </c>
      <c r="P1679" s="4">
        <v>188</v>
      </c>
      <c r="Q1679" s="4" t="str">
        <f t="shared" si="86"/>
        <v>岳阳市</v>
      </c>
      <c r="R1679" s="4">
        <f t="shared" si="84"/>
        <v>18</v>
      </c>
      <c r="S1679" s="4" t="str">
        <f t="shared" si="85"/>
        <v>湖南省</v>
      </c>
    </row>
    <row r="1680" spans="14:19">
      <c r="N1680" s="4">
        <v>1679</v>
      </c>
      <c r="O1680" s="4" t="s">
        <v>2550</v>
      </c>
      <c r="P1680" s="4">
        <v>188</v>
      </c>
      <c r="Q1680" s="4" t="str">
        <f t="shared" si="86"/>
        <v>岳阳市</v>
      </c>
      <c r="R1680" s="4">
        <f t="shared" si="84"/>
        <v>18</v>
      </c>
      <c r="S1680" s="4" t="str">
        <f t="shared" si="85"/>
        <v>湖南省</v>
      </c>
    </row>
    <row r="1681" spans="14:19">
      <c r="N1681" s="4">
        <v>1680</v>
      </c>
      <c r="O1681" s="4" t="s">
        <v>2551</v>
      </c>
      <c r="P1681" s="4">
        <v>188</v>
      </c>
      <c r="Q1681" s="4" t="str">
        <f t="shared" si="86"/>
        <v>岳阳市</v>
      </c>
      <c r="R1681" s="4">
        <f t="shared" si="84"/>
        <v>18</v>
      </c>
      <c r="S1681" s="4" t="str">
        <f t="shared" si="85"/>
        <v>湖南省</v>
      </c>
    </row>
    <row r="1682" spans="14:19">
      <c r="N1682" s="4">
        <v>1681</v>
      </c>
      <c r="O1682" s="4" t="s">
        <v>2552</v>
      </c>
      <c r="P1682" s="4">
        <v>189</v>
      </c>
      <c r="Q1682" s="4" t="str">
        <f t="shared" si="86"/>
        <v>常德市</v>
      </c>
      <c r="R1682" s="4">
        <f t="shared" si="84"/>
        <v>18</v>
      </c>
      <c r="S1682" s="4" t="str">
        <f t="shared" si="85"/>
        <v>湖南省</v>
      </c>
    </row>
    <row r="1683" spans="14:19">
      <c r="N1683" s="4">
        <v>1682</v>
      </c>
      <c r="O1683" s="4" t="s">
        <v>2553</v>
      </c>
      <c r="P1683" s="4">
        <v>189</v>
      </c>
      <c r="Q1683" s="4" t="str">
        <f t="shared" si="86"/>
        <v>常德市</v>
      </c>
      <c r="R1683" s="4">
        <f t="shared" si="84"/>
        <v>18</v>
      </c>
      <c r="S1683" s="4" t="str">
        <f t="shared" si="85"/>
        <v>湖南省</v>
      </c>
    </row>
    <row r="1684" spans="14:19">
      <c r="N1684" s="4">
        <v>1683</v>
      </c>
      <c r="O1684" s="4" t="s">
        <v>2554</v>
      </c>
      <c r="P1684" s="4">
        <v>189</v>
      </c>
      <c r="Q1684" s="4" t="str">
        <f t="shared" si="86"/>
        <v>常德市</v>
      </c>
      <c r="R1684" s="4">
        <f t="shared" si="84"/>
        <v>18</v>
      </c>
      <c r="S1684" s="4" t="str">
        <f t="shared" si="85"/>
        <v>湖南省</v>
      </c>
    </row>
    <row r="1685" spans="14:19">
      <c r="N1685" s="4">
        <v>1684</v>
      </c>
      <c r="O1685" s="4" t="s">
        <v>2555</v>
      </c>
      <c r="P1685" s="4">
        <v>189</v>
      </c>
      <c r="Q1685" s="4" t="str">
        <f t="shared" si="86"/>
        <v>常德市</v>
      </c>
      <c r="R1685" s="4">
        <f t="shared" si="84"/>
        <v>18</v>
      </c>
      <c r="S1685" s="4" t="str">
        <f t="shared" si="85"/>
        <v>湖南省</v>
      </c>
    </row>
    <row r="1686" spans="14:19">
      <c r="N1686" s="4">
        <v>1685</v>
      </c>
      <c r="O1686" s="4" t="s">
        <v>2556</v>
      </c>
      <c r="P1686" s="4">
        <v>189</v>
      </c>
      <c r="Q1686" s="4" t="str">
        <f t="shared" si="86"/>
        <v>常德市</v>
      </c>
      <c r="R1686" s="4">
        <f t="shared" si="84"/>
        <v>18</v>
      </c>
      <c r="S1686" s="4" t="str">
        <f t="shared" si="85"/>
        <v>湖南省</v>
      </c>
    </row>
    <row r="1687" spans="14:19">
      <c r="N1687" s="4">
        <v>1686</v>
      </c>
      <c r="O1687" s="4" t="s">
        <v>2557</v>
      </c>
      <c r="P1687" s="4">
        <v>189</v>
      </c>
      <c r="Q1687" s="4" t="str">
        <f t="shared" si="86"/>
        <v>常德市</v>
      </c>
      <c r="R1687" s="4">
        <f t="shared" si="84"/>
        <v>18</v>
      </c>
      <c r="S1687" s="4" t="str">
        <f t="shared" si="85"/>
        <v>湖南省</v>
      </c>
    </row>
    <row r="1688" spans="14:19">
      <c r="N1688" s="4">
        <v>1687</v>
      </c>
      <c r="O1688" s="4" t="s">
        <v>2558</v>
      </c>
      <c r="P1688" s="4">
        <v>189</v>
      </c>
      <c r="Q1688" s="4" t="str">
        <f t="shared" si="86"/>
        <v>常德市</v>
      </c>
      <c r="R1688" s="4">
        <f t="shared" si="84"/>
        <v>18</v>
      </c>
      <c r="S1688" s="4" t="str">
        <f t="shared" si="85"/>
        <v>湖南省</v>
      </c>
    </row>
    <row r="1689" spans="14:19">
      <c r="N1689" s="4">
        <v>1688</v>
      </c>
      <c r="O1689" s="4" t="s">
        <v>2559</v>
      </c>
      <c r="P1689" s="4">
        <v>189</v>
      </c>
      <c r="Q1689" s="4" t="str">
        <f t="shared" si="86"/>
        <v>常德市</v>
      </c>
      <c r="R1689" s="4">
        <f t="shared" si="84"/>
        <v>18</v>
      </c>
      <c r="S1689" s="4" t="str">
        <f t="shared" si="85"/>
        <v>湖南省</v>
      </c>
    </row>
    <row r="1690" spans="14:19">
      <c r="N1690" s="4">
        <v>1689</v>
      </c>
      <c r="O1690" s="4" t="s">
        <v>2560</v>
      </c>
      <c r="P1690" s="4">
        <v>189</v>
      </c>
      <c r="Q1690" s="4" t="str">
        <f t="shared" si="86"/>
        <v>常德市</v>
      </c>
      <c r="R1690" s="4">
        <f t="shared" si="84"/>
        <v>18</v>
      </c>
      <c r="S1690" s="4" t="str">
        <f t="shared" si="85"/>
        <v>湖南省</v>
      </c>
    </row>
    <row r="1691" spans="14:19">
      <c r="N1691" s="4">
        <v>1690</v>
      </c>
      <c r="O1691" s="4" t="s">
        <v>2561</v>
      </c>
      <c r="P1691" s="4">
        <v>190</v>
      </c>
      <c r="Q1691" s="4" t="str">
        <f t="shared" si="86"/>
        <v>张家界市</v>
      </c>
      <c r="R1691" s="4">
        <f t="shared" si="84"/>
        <v>18</v>
      </c>
      <c r="S1691" s="4" t="str">
        <f t="shared" si="85"/>
        <v>湖南省</v>
      </c>
    </row>
    <row r="1692" spans="14:19">
      <c r="N1692" s="4">
        <v>1691</v>
      </c>
      <c r="O1692" s="4" t="s">
        <v>2562</v>
      </c>
      <c r="P1692" s="4">
        <v>190</v>
      </c>
      <c r="Q1692" s="4" t="str">
        <f t="shared" si="86"/>
        <v>张家界市</v>
      </c>
      <c r="R1692" s="4">
        <f t="shared" si="84"/>
        <v>18</v>
      </c>
      <c r="S1692" s="4" t="str">
        <f t="shared" si="85"/>
        <v>湖南省</v>
      </c>
    </row>
    <row r="1693" spans="14:19">
      <c r="N1693" s="4">
        <v>1692</v>
      </c>
      <c r="O1693" s="4" t="s">
        <v>2563</v>
      </c>
      <c r="P1693" s="4">
        <v>190</v>
      </c>
      <c r="Q1693" s="4" t="str">
        <f t="shared" si="86"/>
        <v>张家界市</v>
      </c>
      <c r="R1693" s="4">
        <f t="shared" si="84"/>
        <v>18</v>
      </c>
      <c r="S1693" s="4" t="str">
        <f t="shared" si="85"/>
        <v>湖南省</v>
      </c>
    </row>
    <row r="1694" spans="14:19">
      <c r="N1694" s="4">
        <v>1693</v>
      </c>
      <c r="O1694" s="4" t="s">
        <v>2564</v>
      </c>
      <c r="P1694" s="4">
        <v>190</v>
      </c>
      <c r="Q1694" s="4" t="str">
        <f t="shared" si="86"/>
        <v>张家界市</v>
      </c>
      <c r="R1694" s="4">
        <f t="shared" si="84"/>
        <v>18</v>
      </c>
      <c r="S1694" s="4" t="str">
        <f t="shared" si="85"/>
        <v>湖南省</v>
      </c>
    </row>
    <row r="1695" spans="14:19">
      <c r="N1695" s="4">
        <v>1694</v>
      </c>
      <c r="O1695" s="4" t="s">
        <v>2565</v>
      </c>
      <c r="P1695" s="4">
        <v>191</v>
      </c>
      <c r="Q1695" s="4" t="str">
        <f t="shared" si="86"/>
        <v>益阳市</v>
      </c>
      <c r="R1695" s="4">
        <f t="shared" si="84"/>
        <v>18</v>
      </c>
      <c r="S1695" s="4" t="str">
        <f t="shared" si="85"/>
        <v>湖南省</v>
      </c>
    </row>
    <row r="1696" spans="14:19">
      <c r="N1696" s="4">
        <v>1695</v>
      </c>
      <c r="O1696" s="4" t="s">
        <v>2566</v>
      </c>
      <c r="P1696" s="4">
        <v>191</v>
      </c>
      <c r="Q1696" s="4" t="str">
        <f t="shared" si="86"/>
        <v>益阳市</v>
      </c>
      <c r="R1696" s="4">
        <f t="shared" si="84"/>
        <v>18</v>
      </c>
      <c r="S1696" s="4" t="str">
        <f t="shared" si="85"/>
        <v>湖南省</v>
      </c>
    </row>
    <row r="1697" spans="14:19">
      <c r="N1697" s="4">
        <v>1696</v>
      </c>
      <c r="O1697" s="4" t="s">
        <v>2567</v>
      </c>
      <c r="P1697" s="4">
        <v>191</v>
      </c>
      <c r="Q1697" s="4" t="str">
        <f t="shared" si="86"/>
        <v>益阳市</v>
      </c>
      <c r="R1697" s="4">
        <f t="shared" si="84"/>
        <v>18</v>
      </c>
      <c r="S1697" s="4" t="str">
        <f t="shared" si="85"/>
        <v>湖南省</v>
      </c>
    </row>
    <row r="1698" spans="14:19">
      <c r="N1698" s="4">
        <v>1697</v>
      </c>
      <c r="O1698" s="4" t="s">
        <v>2568</v>
      </c>
      <c r="P1698" s="4">
        <v>191</v>
      </c>
      <c r="Q1698" s="4" t="str">
        <f t="shared" si="86"/>
        <v>益阳市</v>
      </c>
      <c r="R1698" s="4">
        <f t="shared" si="84"/>
        <v>18</v>
      </c>
      <c r="S1698" s="4" t="str">
        <f t="shared" si="85"/>
        <v>湖南省</v>
      </c>
    </row>
    <row r="1699" spans="14:19">
      <c r="N1699" s="4">
        <v>1698</v>
      </c>
      <c r="O1699" s="4" t="s">
        <v>2569</v>
      </c>
      <c r="P1699" s="4">
        <v>191</v>
      </c>
      <c r="Q1699" s="4" t="str">
        <f t="shared" si="86"/>
        <v>益阳市</v>
      </c>
      <c r="R1699" s="4">
        <f t="shared" si="84"/>
        <v>18</v>
      </c>
      <c r="S1699" s="4" t="str">
        <f t="shared" si="85"/>
        <v>湖南省</v>
      </c>
    </row>
    <row r="1700" spans="14:19">
      <c r="N1700" s="4">
        <v>1699</v>
      </c>
      <c r="O1700" s="4" t="s">
        <v>2570</v>
      </c>
      <c r="P1700" s="4">
        <v>191</v>
      </c>
      <c r="Q1700" s="4" t="str">
        <f t="shared" si="86"/>
        <v>益阳市</v>
      </c>
      <c r="R1700" s="4">
        <f t="shared" si="84"/>
        <v>18</v>
      </c>
      <c r="S1700" s="4" t="str">
        <f t="shared" si="85"/>
        <v>湖南省</v>
      </c>
    </row>
    <row r="1701" spans="14:19">
      <c r="N1701" s="4">
        <v>1700</v>
      </c>
      <c r="O1701" s="4" t="s">
        <v>2571</v>
      </c>
      <c r="P1701" s="4">
        <v>192</v>
      </c>
      <c r="Q1701" s="4" t="str">
        <f t="shared" si="86"/>
        <v>郴州市</v>
      </c>
      <c r="R1701" s="4">
        <f t="shared" si="84"/>
        <v>18</v>
      </c>
      <c r="S1701" s="4" t="str">
        <f t="shared" si="85"/>
        <v>湖南省</v>
      </c>
    </row>
    <row r="1702" spans="14:19">
      <c r="N1702" s="4">
        <v>1701</v>
      </c>
      <c r="O1702" s="4" t="s">
        <v>2572</v>
      </c>
      <c r="P1702" s="4">
        <v>192</v>
      </c>
      <c r="Q1702" s="4" t="str">
        <f t="shared" si="86"/>
        <v>郴州市</v>
      </c>
      <c r="R1702" s="4">
        <f t="shared" si="84"/>
        <v>18</v>
      </c>
      <c r="S1702" s="4" t="str">
        <f t="shared" si="85"/>
        <v>湖南省</v>
      </c>
    </row>
    <row r="1703" spans="14:19">
      <c r="N1703" s="4">
        <v>1702</v>
      </c>
      <c r="O1703" s="4" t="s">
        <v>2573</v>
      </c>
      <c r="P1703" s="4">
        <v>192</v>
      </c>
      <c r="Q1703" s="4" t="str">
        <f t="shared" si="86"/>
        <v>郴州市</v>
      </c>
      <c r="R1703" s="4">
        <f t="shared" si="84"/>
        <v>18</v>
      </c>
      <c r="S1703" s="4" t="str">
        <f t="shared" si="85"/>
        <v>湖南省</v>
      </c>
    </row>
    <row r="1704" spans="14:19">
      <c r="N1704" s="4">
        <v>1703</v>
      </c>
      <c r="O1704" s="4" t="s">
        <v>2574</v>
      </c>
      <c r="P1704" s="4">
        <v>192</v>
      </c>
      <c r="Q1704" s="4" t="str">
        <f t="shared" si="86"/>
        <v>郴州市</v>
      </c>
      <c r="R1704" s="4">
        <f t="shared" si="84"/>
        <v>18</v>
      </c>
      <c r="S1704" s="4" t="str">
        <f t="shared" si="85"/>
        <v>湖南省</v>
      </c>
    </row>
    <row r="1705" spans="14:19">
      <c r="N1705" s="4">
        <v>1704</v>
      </c>
      <c r="O1705" s="4" t="s">
        <v>2575</v>
      </c>
      <c r="P1705" s="4">
        <v>192</v>
      </c>
      <c r="Q1705" s="4" t="str">
        <f t="shared" si="86"/>
        <v>郴州市</v>
      </c>
      <c r="R1705" s="4">
        <f t="shared" si="84"/>
        <v>18</v>
      </c>
      <c r="S1705" s="4" t="str">
        <f t="shared" si="85"/>
        <v>湖南省</v>
      </c>
    </row>
    <row r="1706" spans="14:19">
      <c r="N1706" s="4">
        <v>1705</v>
      </c>
      <c r="O1706" s="4" t="s">
        <v>2576</v>
      </c>
      <c r="P1706" s="4">
        <v>192</v>
      </c>
      <c r="Q1706" s="4" t="str">
        <f t="shared" si="86"/>
        <v>郴州市</v>
      </c>
      <c r="R1706" s="4">
        <f t="shared" si="84"/>
        <v>18</v>
      </c>
      <c r="S1706" s="4" t="str">
        <f t="shared" si="85"/>
        <v>湖南省</v>
      </c>
    </row>
    <row r="1707" spans="14:19">
      <c r="N1707" s="4">
        <v>1706</v>
      </c>
      <c r="O1707" s="4" t="s">
        <v>2577</v>
      </c>
      <c r="P1707" s="4">
        <v>192</v>
      </c>
      <c r="Q1707" s="4" t="str">
        <f t="shared" si="86"/>
        <v>郴州市</v>
      </c>
      <c r="R1707" s="4">
        <f t="shared" si="84"/>
        <v>18</v>
      </c>
      <c r="S1707" s="4" t="str">
        <f t="shared" si="85"/>
        <v>湖南省</v>
      </c>
    </row>
    <row r="1708" spans="14:19">
      <c r="N1708" s="4">
        <v>1707</v>
      </c>
      <c r="O1708" s="4" t="s">
        <v>2578</v>
      </c>
      <c r="P1708" s="4">
        <v>192</v>
      </c>
      <c r="Q1708" s="4" t="str">
        <f t="shared" si="86"/>
        <v>郴州市</v>
      </c>
      <c r="R1708" s="4">
        <f t="shared" si="84"/>
        <v>18</v>
      </c>
      <c r="S1708" s="4" t="str">
        <f t="shared" si="85"/>
        <v>湖南省</v>
      </c>
    </row>
    <row r="1709" spans="14:19">
      <c r="N1709" s="4">
        <v>1708</v>
      </c>
      <c r="O1709" s="4" t="s">
        <v>2579</v>
      </c>
      <c r="P1709" s="4">
        <v>192</v>
      </c>
      <c r="Q1709" s="4" t="str">
        <f t="shared" si="86"/>
        <v>郴州市</v>
      </c>
      <c r="R1709" s="4">
        <f t="shared" si="84"/>
        <v>18</v>
      </c>
      <c r="S1709" s="4" t="str">
        <f t="shared" si="85"/>
        <v>湖南省</v>
      </c>
    </row>
    <row r="1710" spans="14:19">
      <c r="N1710" s="4">
        <v>1709</v>
      </c>
      <c r="O1710" s="4" t="s">
        <v>2580</v>
      </c>
      <c r="P1710" s="4">
        <v>192</v>
      </c>
      <c r="Q1710" s="4" t="str">
        <f t="shared" si="86"/>
        <v>郴州市</v>
      </c>
      <c r="R1710" s="4">
        <f t="shared" si="84"/>
        <v>18</v>
      </c>
      <c r="S1710" s="4" t="str">
        <f t="shared" si="85"/>
        <v>湖南省</v>
      </c>
    </row>
    <row r="1711" spans="14:19">
      <c r="N1711" s="4">
        <v>1710</v>
      </c>
      <c r="O1711" s="4" t="s">
        <v>2581</v>
      </c>
      <c r="P1711" s="4">
        <v>192</v>
      </c>
      <c r="Q1711" s="4" t="str">
        <f t="shared" si="86"/>
        <v>郴州市</v>
      </c>
      <c r="R1711" s="4">
        <f t="shared" si="84"/>
        <v>18</v>
      </c>
      <c r="S1711" s="4" t="str">
        <f t="shared" si="85"/>
        <v>湖南省</v>
      </c>
    </row>
    <row r="1712" spans="14:19">
      <c r="N1712" s="4">
        <v>1711</v>
      </c>
      <c r="O1712" s="4" t="s">
        <v>2582</v>
      </c>
      <c r="P1712" s="4">
        <v>193</v>
      </c>
      <c r="Q1712" s="4" t="str">
        <f t="shared" si="86"/>
        <v>永州市</v>
      </c>
      <c r="R1712" s="4">
        <f t="shared" si="84"/>
        <v>18</v>
      </c>
      <c r="S1712" s="4" t="str">
        <f t="shared" si="85"/>
        <v>湖南省</v>
      </c>
    </row>
    <row r="1713" spans="14:19">
      <c r="N1713" s="4">
        <v>1712</v>
      </c>
      <c r="O1713" s="4" t="s">
        <v>2583</v>
      </c>
      <c r="P1713" s="4">
        <v>193</v>
      </c>
      <c r="Q1713" s="4" t="str">
        <f t="shared" si="86"/>
        <v>永州市</v>
      </c>
      <c r="R1713" s="4">
        <f t="shared" si="84"/>
        <v>18</v>
      </c>
      <c r="S1713" s="4" t="str">
        <f t="shared" si="85"/>
        <v>湖南省</v>
      </c>
    </row>
    <row r="1714" spans="14:19">
      <c r="N1714" s="4">
        <v>1713</v>
      </c>
      <c r="O1714" s="4" t="s">
        <v>2584</v>
      </c>
      <c r="P1714" s="4">
        <v>193</v>
      </c>
      <c r="Q1714" s="4" t="str">
        <f t="shared" si="86"/>
        <v>永州市</v>
      </c>
      <c r="R1714" s="4">
        <f t="shared" si="84"/>
        <v>18</v>
      </c>
      <c r="S1714" s="4" t="str">
        <f t="shared" si="85"/>
        <v>湖南省</v>
      </c>
    </row>
    <row r="1715" spans="14:19">
      <c r="N1715" s="4">
        <v>1714</v>
      </c>
      <c r="O1715" s="4" t="s">
        <v>2585</v>
      </c>
      <c r="P1715" s="4">
        <v>193</v>
      </c>
      <c r="Q1715" s="4" t="str">
        <f t="shared" si="86"/>
        <v>永州市</v>
      </c>
      <c r="R1715" s="4">
        <f t="shared" si="84"/>
        <v>18</v>
      </c>
      <c r="S1715" s="4" t="str">
        <f t="shared" si="85"/>
        <v>湖南省</v>
      </c>
    </row>
    <row r="1716" spans="14:19">
      <c r="N1716" s="4">
        <v>1715</v>
      </c>
      <c r="O1716" s="4" t="s">
        <v>2586</v>
      </c>
      <c r="P1716" s="4">
        <v>193</v>
      </c>
      <c r="Q1716" s="4" t="str">
        <f t="shared" si="86"/>
        <v>永州市</v>
      </c>
      <c r="R1716" s="4">
        <f t="shared" si="84"/>
        <v>18</v>
      </c>
      <c r="S1716" s="4" t="str">
        <f t="shared" si="85"/>
        <v>湖南省</v>
      </c>
    </row>
    <row r="1717" spans="14:19">
      <c r="N1717" s="4">
        <v>1716</v>
      </c>
      <c r="O1717" s="4" t="s">
        <v>2587</v>
      </c>
      <c r="P1717" s="4">
        <v>193</v>
      </c>
      <c r="Q1717" s="4" t="str">
        <f t="shared" si="86"/>
        <v>永州市</v>
      </c>
      <c r="R1717" s="4">
        <f t="shared" si="84"/>
        <v>18</v>
      </c>
      <c r="S1717" s="4" t="str">
        <f t="shared" si="85"/>
        <v>湖南省</v>
      </c>
    </row>
    <row r="1718" spans="14:19">
      <c r="N1718" s="4">
        <v>1717</v>
      </c>
      <c r="O1718" s="4" t="s">
        <v>2588</v>
      </c>
      <c r="P1718" s="4">
        <v>193</v>
      </c>
      <c r="Q1718" s="4" t="str">
        <f t="shared" si="86"/>
        <v>永州市</v>
      </c>
      <c r="R1718" s="4">
        <f t="shared" si="84"/>
        <v>18</v>
      </c>
      <c r="S1718" s="4" t="str">
        <f t="shared" si="85"/>
        <v>湖南省</v>
      </c>
    </row>
    <row r="1719" spans="14:19">
      <c r="N1719" s="4">
        <v>1718</v>
      </c>
      <c r="O1719" s="4" t="s">
        <v>2589</v>
      </c>
      <c r="P1719" s="4">
        <v>193</v>
      </c>
      <c r="Q1719" s="4" t="str">
        <f t="shared" si="86"/>
        <v>永州市</v>
      </c>
      <c r="R1719" s="4">
        <f t="shared" si="84"/>
        <v>18</v>
      </c>
      <c r="S1719" s="4" t="str">
        <f t="shared" si="85"/>
        <v>湖南省</v>
      </c>
    </row>
    <row r="1720" spans="14:19">
      <c r="N1720" s="4">
        <v>1719</v>
      </c>
      <c r="O1720" s="4" t="s">
        <v>2590</v>
      </c>
      <c r="P1720" s="4">
        <v>193</v>
      </c>
      <c r="Q1720" s="4" t="str">
        <f t="shared" si="86"/>
        <v>永州市</v>
      </c>
      <c r="R1720" s="4">
        <f t="shared" si="84"/>
        <v>18</v>
      </c>
      <c r="S1720" s="4" t="str">
        <f t="shared" si="85"/>
        <v>湖南省</v>
      </c>
    </row>
    <row r="1721" spans="14:19">
      <c r="N1721" s="4">
        <v>1720</v>
      </c>
      <c r="O1721" s="4" t="s">
        <v>2591</v>
      </c>
      <c r="P1721" s="4">
        <v>193</v>
      </c>
      <c r="Q1721" s="4" t="str">
        <f t="shared" si="86"/>
        <v>永州市</v>
      </c>
      <c r="R1721" s="4">
        <f t="shared" si="84"/>
        <v>18</v>
      </c>
      <c r="S1721" s="4" t="str">
        <f t="shared" si="85"/>
        <v>湖南省</v>
      </c>
    </row>
    <row r="1722" spans="14:19">
      <c r="N1722" s="4">
        <v>1721</v>
      </c>
      <c r="O1722" s="4" t="s">
        <v>2592</v>
      </c>
      <c r="P1722" s="4">
        <v>193</v>
      </c>
      <c r="Q1722" s="4" t="str">
        <f t="shared" si="86"/>
        <v>永州市</v>
      </c>
      <c r="R1722" s="4">
        <f t="shared" si="84"/>
        <v>18</v>
      </c>
      <c r="S1722" s="4" t="str">
        <f t="shared" si="85"/>
        <v>湖南省</v>
      </c>
    </row>
    <row r="1723" spans="14:19">
      <c r="N1723" s="4">
        <v>1722</v>
      </c>
      <c r="O1723" s="4" t="s">
        <v>2593</v>
      </c>
      <c r="P1723" s="4">
        <v>194</v>
      </c>
      <c r="Q1723" s="4" t="str">
        <f t="shared" si="86"/>
        <v>怀化市</v>
      </c>
      <c r="R1723" s="4">
        <f t="shared" si="84"/>
        <v>18</v>
      </c>
      <c r="S1723" s="4" t="str">
        <f t="shared" si="85"/>
        <v>湖南省</v>
      </c>
    </row>
    <row r="1724" spans="14:19">
      <c r="N1724" s="4">
        <v>1723</v>
      </c>
      <c r="O1724" s="4" t="s">
        <v>2594</v>
      </c>
      <c r="P1724" s="4">
        <v>194</v>
      </c>
      <c r="Q1724" s="4" t="str">
        <f t="shared" si="86"/>
        <v>怀化市</v>
      </c>
      <c r="R1724" s="4">
        <f t="shared" si="84"/>
        <v>18</v>
      </c>
      <c r="S1724" s="4" t="str">
        <f t="shared" si="85"/>
        <v>湖南省</v>
      </c>
    </row>
    <row r="1725" spans="14:19">
      <c r="N1725" s="4">
        <v>1724</v>
      </c>
      <c r="O1725" s="4" t="s">
        <v>2595</v>
      </c>
      <c r="P1725" s="4">
        <v>194</v>
      </c>
      <c r="Q1725" s="4" t="str">
        <f t="shared" si="86"/>
        <v>怀化市</v>
      </c>
      <c r="R1725" s="4">
        <f t="shared" si="84"/>
        <v>18</v>
      </c>
      <c r="S1725" s="4" t="str">
        <f t="shared" si="85"/>
        <v>湖南省</v>
      </c>
    </row>
    <row r="1726" spans="14:19">
      <c r="N1726" s="4">
        <v>1725</v>
      </c>
      <c r="O1726" s="4" t="s">
        <v>2596</v>
      </c>
      <c r="P1726" s="4">
        <v>194</v>
      </c>
      <c r="Q1726" s="4" t="str">
        <f t="shared" si="86"/>
        <v>怀化市</v>
      </c>
      <c r="R1726" s="4">
        <f t="shared" si="84"/>
        <v>18</v>
      </c>
      <c r="S1726" s="4" t="str">
        <f t="shared" si="85"/>
        <v>湖南省</v>
      </c>
    </row>
    <row r="1727" spans="14:19">
      <c r="N1727" s="4">
        <v>1726</v>
      </c>
      <c r="O1727" s="4" t="s">
        <v>2597</v>
      </c>
      <c r="P1727" s="4">
        <v>194</v>
      </c>
      <c r="Q1727" s="4" t="str">
        <f t="shared" si="86"/>
        <v>怀化市</v>
      </c>
      <c r="R1727" s="4">
        <f t="shared" si="84"/>
        <v>18</v>
      </c>
      <c r="S1727" s="4" t="str">
        <f t="shared" si="85"/>
        <v>湖南省</v>
      </c>
    </row>
    <row r="1728" spans="14:19">
      <c r="N1728" s="4">
        <v>1727</v>
      </c>
      <c r="O1728" s="4" t="s">
        <v>2598</v>
      </c>
      <c r="P1728" s="4">
        <v>194</v>
      </c>
      <c r="Q1728" s="4" t="str">
        <f t="shared" si="86"/>
        <v>怀化市</v>
      </c>
      <c r="R1728" s="4">
        <f t="shared" si="84"/>
        <v>18</v>
      </c>
      <c r="S1728" s="4" t="str">
        <f t="shared" si="85"/>
        <v>湖南省</v>
      </c>
    </row>
    <row r="1729" spans="14:19">
      <c r="N1729" s="4">
        <v>1728</v>
      </c>
      <c r="O1729" s="4" t="s">
        <v>2599</v>
      </c>
      <c r="P1729" s="4">
        <v>194</v>
      </c>
      <c r="Q1729" s="4" t="str">
        <f t="shared" si="86"/>
        <v>怀化市</v>
      </c>
      <c r="R1729" s="4">
        <f t="shared" si="84"/>
        <v>18</v>
      </c>
      <c r="S1729" s="4" t="str">
        <f t="shared" si="85"/>
        <v>湖南省</v>
      </c>
    </row>
    <row r="1730" spans="14:19">
      <c r="N1730" s="4">
        <v>1729</v>
      </c>
      <c r="O1730" s="4" t="s">
        <v>2600</v>
      </c>
      <c r="P1730" s="4">
        <v>194</v>
      </c>
      <c r="Q1730" s="4" t="str">
        <f t="shared" si="86"/>
        <v>怀化市</v>
      </c>
      <c r="R1730" s="4">
        <f t="shared" ref="R1730:R1793" si="87">VLOOKUP(P1730,$I$2:$M$346,3,FALSE)</f>
        <v>18</v>
      </c>
      <c r="S1730" s="4" t="str">
        <f t="shared" ref="S1730:S1793" si="88">VLOOKUP(P1730,$I$2:$M$346,4,FALSE)</f>
        <v>湖南省</v>
      </c>
    </row>
    <row r="1731" spans="14:19">
      <c r="N1731" s="4">
        <v>1730</v>
      </c>
      <c r="O1731" s="4" t="s">
        <v>2601</v>
      </c>
      <c r="P1731" s="4">
        <v>194</v>
      </c>
      <c r="Q1731" s="4" t="str">
        <f t="shared" ref="Q1731:Q1794" si="89">VLOOKUP(P1731,$I$2:$J$346,2,FALSE)</f>
        <v>怀化市</v>
      </c>
      <c r="R1731" s="4">
        <f t="shared" si="87"/>
        <v>18</v>
      </c>
      <c r="S1731" s="4" t="str">
        <f t="shared" si="88"/>
        <v>湖南省</v>
      </c>
    </row>
    <row r="1732" spans="14:19">
      <c r="N1732" s="4">
        <v>1731</v>
      </c>
      <c r="O1732" s="4" t="s">
        <v>2602</v>
      </c>
      <c r="P1732" s="4">
        <v>194</v>
      </c>
      <c r="Q1732" s="4" t="str">
        <f t="shared" si="89"/>
        <v>怀化市</v>
      </c>
      <c r="R1732" s="4">
        <f t="shared" si="87"/>
        <v>18</v>
      </c>
      <c r="S1732" s="4" t="str">
        <f t="shared" si="88"/>
        <v>湖南省</v>
      </c>
    </row>
    <row r="1733" spans="14:19">
      <c r="N1733" s="4">
        <v>1732</v>
      </c>
      <c r="O1733" s="4" t="s">
        <v>2603</v>
      </c>
      <c r="P1733" s="4">
        <v>194</v>
      </c>
      <c r="Q1733" s="4" t="str">
        <f t="shared" si="89"/>
        <v>怀化市</v>
      </c>
      <c r="R1733" s="4">
        <f t="shared" si="87"/>
        <v>18</v>
      </c>
      <c r="S1733" s="4" t="str">
        <f t="shared" si="88"/>
        <v>湖南省</v>
      </c>
    </row>
    <row r="1734" spans="14:19">
      <c r="N1734" s="4">
        <v>1733</v>
      </c>
      <c r="O1734" s="4" t="s">
        <v>2604</v>
      </c>
      <c r="P1734" s="4">
        <v>194</v>
      </c>
      <c r="Q1734" s="4" t="str">
        <f t="shared" si="89"/>
        <v>怀化市</v>
      </c>
      <c r="R1734" s="4">
        <f t="shared" si="87"/>
        <v>18</v>
      </c>
      <c r="S1734" s="4" t="str">
        <f t="shared" si="88"/>
        <v>湖南省</v>
      </c>
    </row>
    <row r="1735" spans="14:19">
      <c r="N1735" s="4">
        <v>1734</v>
      </c>
      <c r="O1735" s="4" t="s">
        <v>2605</v>
      </c>
      <c r="P1735" s="4">
        <v>195</v>
      </c>
      <c r="Q1735" s="4" t="str">
        <f t="shared" si="89"/>
        <v>娄底市</v>
      </c>
      <c r="R1735" s="4">
        <f t="shared" si="87"/>
        <v>18</v>
      </c>
      <c r="S1735" s="4" t="str">
        <f t="shared" si="88"/>
        <v>湖南省</v>
      </c>
    </row>
    <row r="1736" spans="14:19">
      <c r="N1736" s="4">
        <v>1735</v>
      </c>
      <c r="O1736" s="4" t="s">
        <v>2606</v>
      </c>
      <c r="P1736" s="4">
        <v>195</v>
      </c>
      <c r="Q1736" s="4" t="str">
        <f t="shared" si="89"/>
        <v>娄底市</v>
      </c>
      <c r="R1736" s="4">
        <f t="shared" si="87"/>
        <v>18</v>
      </c>
      <c r="S1736" s="4" t="str">
        <f t="shared" si="88"/>
        <v>湖南省</v>
      </c>
    </row>
    <row r="1737" spans="14:19">
      <c r="N1737" s="4">
        <v>1736</v>
      </c>
      <c r="O1737" s="4" t="s">
        <v>2607</v>
      </c>
      <c r="P1737" s="4">
        <v>195</v>
      </c>
      <c r="Q1737" s="4" t="str">
        <f t="shared" si="89"/>
        <v>娄底市</v>
      </c>
      <c r="R1737" s="4">
        <f t="shared" si="87"/>
        <v>18</v>
      </c>
      <c r="S1737" s="4" t="str">
        <f t="shared" si="88"/>
        <v>湖南省</v>
      </c>
    </row>
    <row r="1738" spans="14:19">
      <c r="N1738" s="4">
        <v>1737</v>
      </c>
      <c r="O1738" s="4" t="s">
        <v>2608</v>
      </c>
      <c r="P1738" s="4">
        <v>195</v>
      </c>
      <c r="Q1738" s="4" t="str">
        <f t="shared" si="89"/>
        <v>娄底市</v>
      </c>
      <c r="R1738" s="4">
        <f t="shared" si="87"/>
        <v>18</v>
      </c>
      <c r="S1738" s="4" t="str">
        <f t="shared" si="88"/>
        <v>湖南省</v>
      </c>
    </row>
    <row r="1739" spans="14:19">
      <c r="N1739" s="4">
        <v>1738</v>
      </c>
      <c r="O1739" s="4" t="s">
        <v>2609</v>
      </c>
      <c r="P1739" s="4">
        <v>195</v>
      </c>
      <c r="Q1739" s="4" t="str">
        <f t="shared" si="89"/>
        <v>娄底市</v>
      </c>
      <c r="R1739" s="4">
        <f t="shared" si="87"/>
        <v>18</v>
      </c>
      <c r="S1739" s="4" t="str">
        <f t="shared" si="88"/>
        <v>湖南省</v>
      </c>
    </row>
    <row r="1740" spans="14:19">
      <c r="N1740" s="4">
        <v>1739</v>
      </c>
      <c r="O1740" s="4" t="s">
        <v>2610</v>
      </c>
      <c r="P1740" s="4">
        <v>196</v>
      </c>
      <c r="Q1740" s="4" t="str">
        <f t="shared" si="89"/>
        <v>湘西土家族苗族自治州</v>
      </c>
      <c r="R1740" s="4">
        <f t="shared" si="87"/>
        <v>18</v>
      </c>
      <c r="S1740" s="4" t="str">
        <f t="shared" si="88"/>
        <v>湖南省</v>
      </c>
    </row>
    <row r="1741" spans="14:19">
      <c r="N1741" s="4">
        <v>1740</v>
      </c>
      <c r="O1741" s="4" t="s">
        <v>2611</v>
      </c>
      <c r="P1741" s="4">
        <v>196</v>
      </c>
      <c r="Q1741" s="4" t="str">
        <f t="shared" si="89"/>
        <v>湘西土家族苗族自治州</v>
      </c>
      <c r="R1741" s="4">
        <f t="shared" si="87"/>
        <v>18</v>
      </c>
      <c r="S1741" s="4" t="str">
        <f t="shared" si="88"/>
        <v>湖南省</v>
      </c>
    </row>
    <row r="1742" spans="14:19">
      <c r="N1742" s="4">
        <v>1741</v>
      </c>
      <c r="O1742" s="4" t="s">
        <v>2612</v>
      </c>
      <c r="P1742" s="4">
        <v>196</v>
      </c>
      <c r="Q1742" s="4" t="str">
        <f t="shared" si="89"/>
        <v>湘西土家族苗族自治州</v>
      </c>
      <c r="R1742" s="4">
        <f t="shared" si="87"/>
        <v>18</v>
      </c>
      <c r="S1742" s="4" t="str">
        <f t="shared" si="88"/>
        <v>湖南省</v>
      </c>
    </row>
    <row r="1743" spans="14:19">
      <c r="N1743" s="4">
        <v>1742</v>
      </c>
      <c r="O1743" s="4" t="s">
        <v>2613</v>
      </c>
      <c r="P1743" s="4">
        <v>196</v>
      </c>
      <c r="Q1743" s="4" t="str">
        <f t="shared" si="89"/>
        <v>湘西土家族苗族自治州</v>
      </c>
      <c r="R1743" s="4">
        <f t="shared" si="87"/>
        <v>18</v>
      </c>
      <c r="S1743" s="4" t="str">
        <f t="shared" si="88"/>
        <v>湖南省</v>
      </c>
    </row>
    <row r="1744" spans="14:19">
      <c r="N1744" s="4">
        <v>1743</v>
      </c>
      <c r="O1744" s="4" t="s">
        <v>2614</v>
      </c>
      <c r="P1744" s="4">
        <v>196</v>
      </c>
      <c r="Q1744" s="4" t="str">
        <f t="shared" si="89"/>
        <v>湘西土家族苗族自治州</v>
      </c>
      <c r="R1744" s="4">
        <f t="shared" si="87"/>
        <v>18</v>
      </c>
      <c r="S1744" s="4" t="str">
        <f t="shared" si="88"/>
        <v>湖南省</v>
      </c>
    </row>
    <row r="1745" spans="14:19">
      <c r="N1745" s="4">
        <v>1744</v>
      </c>
      <c r="O1745" s="4" t="s">
        <v>2615</v>
      </c>
      <c r="P1745" s="4">
        <v>196</v>
      </c>
      <c r="Q1745" s="4" t="str">
        <f t="shared" si="89"/>
        <v>湘西土家族苗族自治州</v>
      </c>
      <c r="R1745" s="4">
        <f t="shared" si="87"/>
        <v>18</v>
      </c>
      <c r="S1745" s="4" t="str">
        <f t="shared" si="88"/>
        <v>湖南省</v>
      </c>
    </row>
    <row r="1746" spans="14:19">
      <c r="N1746" s="4">
        <v>1745</v>
      </c>
      <c r="O1746" s="4" t="s">
        <v>2616</v>
      </c>
      <c r="P1746" s="4">
        <v>196</v>
      </c>
      <c r="Q1746" s="4" t="str">
        <f t="shared" si="89"/>
        <v>湘西土家族苗族自治州</v>
      </c>
      <c r="R1746" s="4">
        <f t="shared" si="87"/>
        <v>18</v>
      </c>
      <c r="S1746" s="4" t="str">
        <f t="shared" si="88"/>
        <v>湖南省</v>
      </c>
    </row>
    <row r="1747" spans="14:19">
      <c r="N1747" s="4">
        <v>1746</v>
      </c>
      <c r="O1747" s="4" t="s">
        <v>2617</v>
      </c>
      <c r="P1747" s="4">
        <v>196</v>
      </c>
      <c r="Q1747" s="4" t="str">
        <f t="shared" si="89"/>
        <v>湘西土家族苗族自治州</v>
      </c>
      <c r="R1747" s="4">
        <f t="shared" si="87"/>
        <v>18</v>
      </c>
      <c r="S1747" s="4" t="str">
        <f t="shared" si="88"/>
        <v>湖南省</v>
      </c>
    </row>
    <row r="1748" spans="14:19">
      <c r="N1748" s="4">
        <v>1747</v>
      </c>
      <c r="O1748" s="4" t="s">
        <v>1528</v>
      </c>
      <c r="P1748" s="4">
        <v>197</v>
      </c>
      <c r="Q1748" s="4" t="str">
        <f t="shared" si="89"/>
        <v>广州市</v>
      </c>
      <c r="R1748" s="4">
        <f t="shared" si="87"/>
        <v>19</v>
      </c>
      <c r="S1748" s="4" t="str">
        <f t="shared" si="88"/>
        <v>广东省</v>
      </c>
    </row>
    <row r="1749" spans="14:19">
      <c r="N1749" s="4">
        <v>1748</v>
      </c>
      <c r="O1749" s="4" t="s">
        <v>2618</v>
      </c>
      <c r="P1749" s="4">
        <v>197</v>
      </c>
      <c r="Q1749" s="4" t="str">
        <f t="shared" si="89"/>
        <v>广州市</v>
      </c>
      <c r="R1749" s="4">
        <f t="shared" si="87"/>
        <v>19</v>
      </c>
      <c r="S1749" s="4" t="str">
        <f t="shared" si="88"/>
        <v>广东省</v>
      </c>
    </row>
    <row r="1750" spans="14:19">
      <c r="N1750" s="4">
        <v>1749</v>
      </c>
      <c r="O1750" s="4" t="s">
        <v>2619</v>
      </c>
      <c r="P1750" s="4">
        <v>197</v>
      </c>
      <c r="Q1750" s="4" t="str">
        <f t="shared" si="89"/>
        <v>广州市</v>
      </c>
      <c r="R1750" s="4">
        <f t="shared" si="87"/>
        <v>19</v>
      </c>
      <c r="S1750" s="4" t="str">
        <f t="shared" si="88"/>
        <v>广东省</v>
      </c>
    </row>
    <row r="1751" spans="14:19">
      <c r="N1751" s="4">
        <v>1750</v>
      </c>
      <c r="O1751" s="4" t="s">
        <v>2620</v>
      </c>
      <c r="P1751" s="4">
        <v>197</v>
      </c>
      <c r="Q1751" s="4" t="str">
        <f t="shared" si="89"/>
        <v>广州市</v>
      </c>
      <c r="R1751" s="4">
        <f t="shared" si="87"/>
        <v>19</v>
      </c>
      <c r="S1751" s="4" t="str">
        <f t="shared" si="88"/>
        <v>广东省</v>
      </c>
    </row>
    <row r="1752" spans="14:19">
      <c r="N1752" s="4">
        <v>1751</v>
      </c>
      <c r="O1752" s="4" t="s">
        <v>2621</v>
      </c>
      <c r="P1752" s="4">
        <v>197</v>
      </c>
      <c r="Q1752" s="4" t="str">
        <f t="shared" si="89"/>
        <v>广州市</v>
      </c>
      <c r="R1752" s="4">
        <f t="shared" si="87"/>
        <v>19</v>
      </c>
      <c r="S1752" s="4" t="str">
        <f t="shared" si="88"/>
        <v>广东省</v>
      </c>
    </row>
    <row r="1753" spans="14:19">
      <c r="N1753" s="4">
        <v>1752</v>
      </c>
      <c r="O1753" s="4" t="s">
        <v>2622</v>
      </c>
      <c r="P1753" s="4">
        <v>197</v>
      </c>
      <c r="Q1753" s="4" t="str">
        <f t="shared" si="89"/>
        <v>广州市</v>
      </c>
      <c r="R1753" s="4">
        <f t="shared" si="87"/>
        <v>19</v>
      </c>
      <c r="S1753" s="4" t="str">
        <f t="shared" si="88"/>
        <v>广东省</v>
      </c>
    </row>
    <row r="1754" spans="14:19">
      <c r="N1754" s="4">
        <v>1753</v>
      </c>
      <c r="O1754" s="4" t="s">
        <v>2623</v>
      </c>
      <c r="P1754" s="4">
        <v>197</v>
      </c>
      <c r="Q1754" s="4" t="str">
        <f t="shared" si="89"/>
        <v>广州市</v>
      </c>
      <c r="R1754" s="4">
        <f t="shared" si="87"/>
        <v>19</v>
      </c>
      <c r="S1754" s="4" t="str">
        <f t="shared" si="88"/>
        <v>广东省</v>
      </c>
    </row>
    <row r="1755" spans="14:19">
      <c r="N1755" s="4">
        <v>1754</v>
      </c>
      <c r="O1755" s="4" t="s">
        <v>2624</v>
      </c>
      <c r="P1755" s="4">
        <v>197</v>
      </c>
      <c r="Q1755" s="4" t="str">
        <f t="shared" si="89"/>
        <v>广州市</v>
      </c>
      <c r="R1755" s="4">
        <f t="shared" si="87"/>
        <v>19</v>
      </c>
      <c r="S1755" s="4" t="str">
        <f t="shared" si="88"/>
        <v>广东省</v>
      </c>
    </row>
    <row r="1756" spans="14:19">
      <c r="N1756" s="4">
        <v>1755</v>
      </c>
      <c r="O1756" s="4" t="s">
        <v>2625</v>
      </c>
      <c r="P1756" s="4">
        <v>197</v>
      </c>
      <c r="Q1756" s="4" t="str">
        <f t="shared" si="89"/>
        <v>广州市</v>
      </c>
      <c r="R1756" s="4">
        <f t="shared" si="87"/>
        <v>19</v>
      </c>
      <c r="S1756" s="4" t="str">
        <f t="shared" si="88"/>
        <v>广东省</v>
      </c>
    </row>
    <row r="1757" spans="14:19">
      <c r="N1757" s="4">
        <v>1756</v>
      </c>
      <c r="O1757" s="4" t="s">
        <v>2626</v>
      </c>
      <c r="P1757" s="4">
        <v>197</v>
      </c>
      <c r="Q1757" s="4" t="str">
        <f t="shared" si="89"/>
        <v>广州市</v>
      </c>
      <c r="R1757" s="4">
        <f t="shared" si="87"/>
        <v>19</v>
      </c>
      <c r="S1757" s="4" t="str">
        <f t="shared" si="88"/>
        <v>广东省</v>
      </c>
    </row>
    <row r="1758" spans="14:19">
      <c r="N1758" s="4">
        <v>1757</v>
      </c>
      <c r="O1758" s="4" t="s">
        <v>2627</v>
      </c>
      <c r="P1758" s="4">
        <v>197</v>
      </c>
      <c r="Q1758" s="4" t="str">
        <f t="shared" si="89"/>
        <v>广州市</v>
      </c>
      <c r="R1758" s="4">
        <f t="shared" si="87"/>
        <v>19</v>
      </c>
      <c r="S1758" s="4" t="str">
        <f t="shared" si="88"/>
        <v>广东省</v>
      </c>
    </row>
    <row r="1759" spans="14:19">
      <c r="N1759" s="4">
        <v>1758</v>
      </c>
      <c r="O1759" s="4" t="s">
        <v>2628</v>
      </c>
      <c r="P1759" s="4">
        <v>197</v>
      </c>
      <c r="Q1759" s="4" t="str">
        <f t="shared" si="89"/>
        <v>广州市</v>
      </c>
      <c r="R1759" s="4">
        <f t="shared" si="87"/>
        <v>19</v>
      </c>
      <c r="S1759" s="4" t="str">
        <f t="shared" si="88"/>
        <v>广东省</v>
      </c>
    </row>
    <row r="1760" spans="14:19">
      <c r="N1760" s="4">
        <v>1759</v>
      </c>
      <c r="O1760" s="4" t="s">
        <v>2629</v>
      </c>
      <c r="P1760" s="4">
        <v>198</v>
      </c>
      <c r="Q1760" s="4" t="str">
        <f t="shared" si="89"/>
        <v>韶关市</v>
      </c>
      <c r="R1760" s="4">
        <f t="shared" si="87"/>
        <v>19</v>
      </c>
      <c r="S1760" s="4" t="str">
        <f t="shared" si="88"/>
        <v>广东省</v>
      </c>
    </row>
    <row r="1761" spans="14:19">
      <c r="N1761" s="4">
        <v>1760</v>
      </c>
      <c r="O1761" s="4" t="s">
        <v>2630</v>
      </c>
      <c r="P1761" s="4">
        <v>198</v>
      </c>
      <c r="Q1761" s="4" t="str">
        <f t="shared" si="89"/>
        <v>韶关市</v>
      </c>
      <c r="R1761" s="4">
        <f t="shared" si="87"/>
        <v>19</v>
      </c>
      <c r="S1761" s="4" t="str">
        <f t="shared" si="88"/>
        <v>广东省</v>
      </c>
    </row>
    <row r="1762" spans="14:19">
      <c r="N1762" s="4">
        <v>1761</v>
      </c>
      <c r="O1762" s="4" t="s">
        <v>2631</v>
      </c>
      <c r="P1762" s="4">
        <v>198</v>
      </c>
      <c r="Q1762" s="4" t="str">
        <f t="shared" si="89"/>
        <v>韶关市</v>
      </c>
      <c r="R1762" s="4">
        <f t="shared" si="87"/>
        <v>19</v>
      </c>
      <c r="S1762" s="4" t="str">
        <f t="shared" si="88"/>
        <v>广东省</v>
      </c>
    </row>
    <row r="1763" spans="14:19">
      <c r="N1763" s="4">
        <v>1762</v>
      </c>
      <c r="O1763" s="4" t="s">
        <v>2632</v>
      </c>
      <c r="P1763" s="4">
        <v>198</v>
      </c>
      <c r="Q1763" s="4" t="str">
        <f t="shared" si="89"/>
        <v>韶关市</v>
      </c>
      <c r="R1763" s="4">
        <f t="shared" si="87"/>
        <v>19</v>
      </c>
      <c r="S1763" s="4" t="str">
        <f t="shared" si="88"/>
        <v>广东省</v>
      </c>
    </row>
    <row r="1764" spans="14:19">
      <c r="N1764" s="4">
        <v>1763</v>
      </c>
      <c r="O1764" s="4" t="s">
        <v>2633</v>
      </c>
      <c r="P1764" s="4">
        <v>198</v>
      </c>
      <c r="Q1764" s="4" t="str">
        <f t="shared" si="89"/>
        <v>韶关市</v>
      </c>
      <c r="R1764" s="4">
        <f t="shared" si="87"/>
        <v>19</v>
      </c>
      <c r="S1764" s="4" t="str">
        <f t="shared" si="88"/>
        <v>广东省</v>
      </c>
    </row>
    <row r="1765" spans="14:19">
      <c r="N1765" s="4">
        <v>1764</v>
      </c>
      <c r="O1765" s="4" t="s">
        <v>2634</v>
      </c>
      <c r="P1765" s="4">
        <v>198</v>
      </c>
      <c r="Q1765" s="4" t="str">
        <f t="shared" si="89"/>
        <v>韶关市</v>
      </c>
      <c r="R1765" s="4">
        <f t="shared" si="87"/>
        <v>19</v>
      </c>
      <c r="S1765" s="4" t="str">
        <f t="shared" si="88"/>
        <v>广东省</v>
      </c>
    </row>
    <row r="1766" spans="14:19">
      <c r="N1766" s="4">
        <v>1765</v>
      </c>
      <c r="O1766" s="4" t="s">
        <v>2635</v>
      </c>
      <c r="P1766" s="4">
        <v>198</v>
      </c>
      <c r="Q1766" s="4" t="str">
        <f t="shared" si="89"/>
        <v>韶关市</v>
      </c>
      <c r="R1766" s="4">
        <f t="shared" si="87"/>
        <v>19</v>
      </c>
      <c r="S1766" s="4" t="str">
        <f t="shared" si="88"/>
        <v>广东省</v>
      </c>
    </row>
    <row r="1767" spans="14:19">
      <c r="N1767" s="4">
        <v>1766</v>
      </c>
      <c r="O1767" s="4" t="s">
        <v>2636</v>
      </c>
      <c r="P1767" s="4">
        <v>198</v>
      </c>
      <c r="Q1767" s="4" t="str">
        <f t="shared" si="89"/>
        <v>韶关市</v>
      </c>
      <c r="R1767" s="4">
        <f t="shared" si="87"/>
        <v>19</v>
      </c>
      <c r="S1767" s="4" t="str">
        <f t="shared" si="88"/>
        <v>广东省</v>
      </c>
    </row>
    <row r="1768" spans="14:19">
      <c r="N1768" s="4">
        <v>1767</v>
      </c>
      <c r="O1768" s="4" t="s">
        <v>2637</v>
      </c>
      <c r="P1768" s="4">
        <v>198</v>
      </c>
      <c r="Q1768" s="4" t="str">
        <f t="shared" si="89"/>
        <v>韶关市</v>
      </c>
      <c r="R1768" s="4">
        <f t="shared" si="87"/>
        <v>19</v>
      </c>
      <c r="S1768" s="4" t="str">
        <f t="shared" si="88"/>
        <v>广东省</v>
      </c>
    </row>
    <row r="1769" spans="14:19">
      <c r="N1769" s="4">
        <v>1768</v>
      </c>
      <c r="O1769" s="4" t="s">
        <v>2638</v>
      </c>
      <c r="P1769" s="4">
        <v>198</v>
      </c>
      <c r="Q1769" s="4" t="str">
        <f t="shared" si="89"/>
        <v>韶关市</v>
      </c>
      <c r="R1769" s="4">
        <f t="shared" si="87"/>
        <v>19</v>
      </c>
      <c r="S1769" s="4" t="str">
        <f t="shared" si="88"/>
        <v>广东省</v>
      </c>
    </row>
    <row r="1770" spans="14:19">
      <c r="N1770" s="4">
        <v>1769</v>
      </c>
      <c r="O1770" s="4" t="s">
        <v>2639</v>
      </c>
      <c r="P1770" s="4">
        <v>199</v>
      </c>
      <c r="Q1770" s="4" t="str">
        <f t="shared" si="89"/>
        <v>深圳市</v>
      </c>
      <c r="R1770" s="4">
        <f t="shared" si="87"/>
        <v>19</v>
      </c>
      <c r="S1770" s="4" t="str">
        <f t="shared" si="88"/>
        <v>广东省</v>
      </c>
    </row>
    <row r="1771" spans="14:19">
      <c r="N1771" s="4">
        <v>1770</v>
      </c>
      <c r="O1771" s="4" t="s">
        <v>2640</v>
      </c>
      <c r="P1771" s="4">
        <v>199</v>
      </c>
      <c r="Q1771" s="4" t="str">
        <f t="shared" si="89"/>
        <v>深圳市</v>
      </c>
      <c r="R1771" s="4">
        <f t="shared" si="87"/>
        <v>19</v>
      </c>
      <c r="S1771" s="4" t="str">
        <f t="shared" si="88"/>
        <v>广东省</v>
      </c>
    </row>
    <row r="1772" spans="14:19">
      <c r="N1772" s="4">
        <v>1771</v>
      </c>
      <c r="O1772" s="4" t="s">
        <v>1526</v>
      </c>
      <c r="P1772" s="4">
        <v>199</v>
      </c>
      <c r="Q1772" s="4" t="str">
        <f t="shared" si="89"/>
        <v>深圳市</v>
      </c>
      <c r="R1772" s="4">
        <f t="shared" si="87"/>
        <v>19</v>
      </c>
      <c r="S1772" s="4" t="str">
        <f t="shared" si="88"/>
        <v>广东省</v>
      </c>
    </row>
    <row r="1773" spans="14:19">
      <c r="N1773" s="4">
        <v>1772</v>
      </c>
      <c r="O1773" s="4" t="s">
        <v>2641</v>
      </c>
      <c r="P1773" s="4">
        <v>199</v>
      </c>
      <c r="Q1773" s="4" t="str">
        <f t="shared" si="89"/>
        <v>深圳市</v>
      </c>
      <c r="R1773" s="4">
        <f t="shared" si="87"/>
        <v>19</v>
      </c>
      <c r="S1773" s="4" t="str">
        <f t="shared" si="88"/>
        <v>广东省</v>
      </c>
    </row>
    <row r="1774" spans="14:19">
      <c r="N1774" s="4">
        <v>1773</v>
      </c>
      <c r="O1774" s="4" t="s">
        <v>2642</v>
      </c>
      <c r="P1774" s="4">
        <v>199</v>
      </c>
      <c r="Q1774" s="4" t="str">
        <f t="shared" si="89"/>
        <v>深圳市</v>
      </c>
      <c r="R1774" s="4">
        <f t="shared" si="87"/>
        <v>19</v>
      </c>
      <c r="S1774" s="4" t="str">
        <f t="shared" si="88"/>
        <v>广东省</v>
      </c>
    </row>
    <row r="1775" spans="14:19">
      <c r="N1775" s="4">
        <v>1774</v>
      </c>
      <c r="O1775" s="4" t="s">
        <v>2643</v>
      </c>
      <c r="P1775" s="4">
        <v>199</v>
      </c>
      <c r="Q1775" s="4" t="str">
        <f t="shared" si="89"/>
        <v>深圳市</v>
      </c>
      <c r="R1775" s="4">
        <f t="shared" si="87"/>
        <v>19</v>
      </c>
      <c r="S1775" s="4" t="str">
        <f t="shared" si="88"/>
        <v>广东省</v>
      </c>
    </row>
    <row r="1776" spans="14:19">
      <c r="N1776" s="4">
        <v>1775</v>
      </c>
      <c r="O1776" s="4" t="s">
        <v>2644</v>
      </c>
      <c r="P1776" s="4">
        <v>200</v>
      </c>
      <c r="Q1776" s="4" t="str">
        <f t="shared" si="89"/>
        <v>珠海市</v>
      </c>
      <c r="R1776" s="4">
        <f t="shared" si="87"/>
        <v>19</v>
      </c>
      <c r="S1776" s="4" t="str">
        <f t="shared" si="88"/>
        <v>广东省</v>
      </c>
    </row>
    <row r="1777" spans="14:19">
      <c r="N1777" s="4">
        <v>1776</v>
      </c>
      <c r="O1777" s="4" t="s">
        <v>2645</v>
      </c>
      <c r="P1777" s="4">
        <v>200</v>
      </c>
      <c r="Q1777" s="4" t="str">
        <f t="shared" si="89"/>
        <v>珠海市</v>
      </c>
      <c r="R1777" s="4">
        <f t="shared" si="87"/>
        <v>19</v>
      </c>
      <c r="S1777" s="4" t="str">
        <f t="shared" si="88"/>
        <v>广东省</v>
      </c>
    </row>
    <row r="1778" spans="14:19">
      <c r="N1778" s="4">
        <v>1777</v>
      </c>
      <c r="O1778" s="4" t="s">
        <v>2646</v>
      </c>
      <c r="P1778" s="4">
        <v>200</v>
      </c>
      <c r="Q1778" s="4" t="str">
        <f t="shared" si="89"/>
        <v>珠海市</v>
      </c>
      <c r="R1778" s="4">
        <f t="shared" si="87"/>
        <v>19</v>
      </c>
      <c r="S1778" s="4" t="str">
        <f t="shared" si="88"/>
        <v>广东省</v>
      </c>
    </row>
    <row r="1779" spans="14:19">
      <c r="N1779" s="4">
        <v>1778</v>
      </c>
      <c r="O1779" s="4" t="s">
        <v>2647</v>
      </c>
      <c r="P1779" s="4">
        <v>201</v>
      </c>
      <c r="Q1779" s="4" t="str">
        <f t="shared" si="89"/>
        <v>汕头市</v>
      </c>
      <c r="R1779" s="4">
        <f t="shared" si="87"/>
        <v>19</v>
      </c>
      <c r="S1779" s="4" t="str">
        <f t="shared" si="88"/>
        <v>广东省</v>
      </c>
    </row>
    <row r="1780" spans="14:19">
      <c r="N1780" s="4">
        <v>1779</v>
      </c>
      <c r="O1780" s="4" t="s">
        <v>2648</v>
      </c>
      <c r="P1780" s="4">
        <v>201</v>
      </c>
      <c r="Q1780" s="4" t="str">
        <f t="shared" si="89"/>
        <v>汕头市</v>
      </c>
      <c r="R1780" s="4">
        <f t="shared" si="87"/>
        <v>19</v>
      </c>
      <c r="S1780" s="4" t="str">
        <f t="shared" si="88"/>
        <v>广东省</v>
      </c>
    </row>
    <row r="1781" spans="14:19">
      <c r="N1781" s="4">
        <v>1780</v>
      </c>
      <c r="O1781" s="4" t="s">
        <v>2649</v>
      </c>
      <c r="P1781" s="4">
        <v>201</v>
      </c>
      <c r="Q1781" s="4" t="str">
        <f t="shared" si="89"/>
        <v>汕头市</v>
      </c>
      <c r="R1781" s="4">
        <f t="shared" si="87"/>
        <v>19</v>
      </c>
      <c r="S1781" s="4" t="str">
        <f t="shared" si="88"/>
        <v>广东省</v>
      </c>
    </row>
    <row r="1782" spans="14:19">
      <c r="N1782" s="4">
        <v>1781</v>
      </c>
      <c r="O1782" s="4" t="s">
        <v>2650</v>
      </c>
      <c r="P1782" s="4">
        <v>201</v>
      </c>
      <c r="Q1782" s="4" t="str">
        <f t="shared" si="89"/>
        <v>汕头市</v>
      </c>
      <c r="R1782" s="4">
        <f t="shared" si="87"/>
        <v>19</v>
      </c>
      <c r="S1782" s="4" t="str">
        <f t="shared" si="88"/>
        <v>广东省</v>
      </c>
    </row>
    <row r="1783" spans="14:19">
      <c r="N1783" s="4">
        <v>1782</v>
      </c>
      <c r="O1783" s="4" t="s">
        <v>2651</v>
      </c>
      <c r="P1783" s="4">
        <v>201</v>
      </c>
      <c r="Q1783" s="4" t="str">
        <f t="shared" si="89"/>
        <v>汕头市</v>
      </c>
      <c r="R1783" s="4">
        <f t="shared" si="87"/>
        <v>19</v>
      </c>
      <c r="S1783" s="4" t="str">
        <f t="shared" si="88"/>
        <v>广东省</v>
      </c>
    </row>
    <row r="1784" spans="14:19">
      <c r="N1784" s="4">
        <v>1783</v>
      </c>
      <c r="O1784" s="4" t="s">
        <v>2652</v>
      </c>
      <c r="P1784" s="4">
        <v>201</v>
      </c>
      <c r="Q1784" s="4" t="str">
        <f t="shared" si="89"/>
        <v>汕头市</v>
      </c>
      <c r="R1784" s="4">
        <f t="shared" si="87"/>
        <v>19</v>
      </c>
      <c r="S1784" s="4" t="str">
        <f t="shared" si="88"/>
        <v>广东省</v>
      </c>
    </row>
    <row r="1785" spans="14:19">
      <c r="N1785" s="4">
        <v>1784</v>
      </c>
      <c r="O1785" s="4" t="s">
        <v>2653</v>
      </c>
      <c r="P1785" s="4">
        <v>201</v>
      </c>
      <c r="Q1785" s="4" t="str">
        <f t="shared" si="89"/>
        <v>汕头市</v>
      </c>
      <c r="R1785" s="4">
        <f t="shared" si="87"/>
        <v>19</v>
      </c>
      <c r="S1785" s="4" t="str">
        <f t="shared" si="88"/>
        <v>广东省</v>
      </c>
    </row>
    <row r="1786" spans="14:19">
      <c r="N1786" s="4">
        <v>1785</v>
      </c>
      <c r="O1786" s="4" t="s">
        <v>2654</v>
      </c>
      <c r="P1786" s="4">
        <v>202</v>
      </c>
      <c r="Q1786" s="4" t="str">
        <f t="shared" si="89"/>
        <v>佛山市</v>
      </c>
      <c r="R1786" s="4">
        <f t="shared" si="87"/>
        <v>19</v>
      </c>
      <c r="S1786" s="4" t="str">
        <f t="shared" si="88"/>
        <v>广东省</v>
      </c>
    </row>
    <row r="1787" spans="14:19">
      <c r="N1787" s="4">
        <v>1786</v>
      </c>
      <c r="O1787" s="4" t="s">
        <v>2655</v>
      </c>
      <c r="P1787" s="4">
        <v>202</v>
      </c>
      <c r="Q1787" s="4" t="str">
        <f t="shared" si="89"/>
        <v>佛山市</v>
      </c>
      <c r="R1787" s="4">
        <f t="shared" si="87"/>
        <v>19</v>
      </c>
      <c r="S1787" s="4" t="str">
        <f t="shared" si="88"/>
        <v>广东省</v>
      </c>
    </row>
    <row r="1788" spans="14:19">
      <c r="N1788" s="4">
        <v>1787</v>
      </c>
      <c r="O1788" s="4" t="s">
        <v>2656</v>
      </c>
      <c r="P1788" s="4">
        <v>202</v>
      </c>
      <c r="Q1788" s="4" t="str">
        <f t="shared" si="89"/>
        <v>佛山市</v>
      </c>
      <c r="R1788" s="4">
        <f t="shared" si="87"/>
        <v>19</v>
      </c>
      <c r="S1788" s="4" t="str">
        <f t="shared" si="88"/>
        <v>广东省</v>
      </c>
    </row>
    <row r="1789" spans="14:19">
      <c r="N1789" s="4">
        <v>1788</v>
      </c>
      <c r="O1789" s="4" t="s">
        <v>2657</v>
      </c>
      <c r="P1789" s="4">
        <v>202</v>
      </c>
      <c r="Q1789" s="4" t="str">
        <f t="shared" si="89"/>
        <v>佛山市</v>
      </c>
      <c r="R1789" s="4">
        <f t="shared" si="87"/>
        <v>19</v>
      </c>
      <c r="S1789" s="4" t="str">
        <f t="shared" si="88"/>
        <v>广东省</v>
      </c>
    </row>
    <row r="1790" spans="14:19">
      <c r="N1790" s="4">
        <v>1789</v>
      </c>
      <c r="O1790" s="4" t="s">
        <v>2658</v>
      </c>
      <c r="P1790" s="4">
        <v>202</v>
      </c>
      <c r="Q1790" s="4" t="str">
        <f t="shared" si="89"/>
        <v>佛山市</v>
      </c>
      <c r="R1790" s="4">
        <f t="shared" si="87"/>
        <v>19</v>
      </c>
      <c r="S1790" s="4" t="str">
        <f t="shared" si="88"/>
        <v>广东省</v>
      </c>
    </row>
    <row r="1791" spans="14:19">
      <c r="N1791" s="4">
        <v>1790</v>
      </c>
      <c r="O1791" s="4" t="s">
        <v>2659</v>
      </c>
      <c r="P1791" s="4">
        <v>203</v>
      </c>
      <c r="Q1791" s="4" t="str">
        <f t="shared" si="89"/>
        <v>江门市</v>
      </c>
      <c r="R1791" s="4">
        <f t="shared" si="87"/>
        <v>19</v>
      </c>
      <c r="S1791" s="4" t="str">
        <f t="shared" si="88"/>
        <v>广东省</v>
      </c>
    </row>
    <row r="1792" spans="14:19">
      <c r="N1792" s="4">
        <v>1791</v>
      </c>
      <c r="O1792" s="4" t="s">
        <v>2660</v>
      </c>
      <c r="P1792" s="4">
        <v>203</v>
      </c>
      <c r="Q1792" s="4" t="str">
        <f t="shared" si="89"/>
        <v>江门市</v>
      </c>
      <c r="R1792" s="4">
        <f t="shared" si="87"/>
        <v>19</v>
      </c>
      <c r="S1792" s="4" t="str">
        <f t="shared" si="88"/>
        <v>广东省</v>
      </c>
    </row>
    <row r="1793" spans="14:19">
      <c r="N1793" s="4">
        <v>1792</v>
      </c>
      <c r="O1793" s="4" t="s">
        <v>2661</v>
      </c>
      <c r="P1793" s="4">
        <v>203</v>
      </c>
      <c r="Q1793" s="4" t="str">
        <f t="shared" si="89"/>
        <v>江门市</v>
      </c>
      <c r="R1793" s="4">
        <f t="shared" si="87"/>
        <v>19</v>
      </c>
      <c r="S1793" s="4" t="str">
        <f t="shared" si="88"/>
        <v>广东省</v>
      </c>
    </row>
    <row r="1794" spans="14:19">
      <c r="N1794" s="4">
        <v>1793</v>
      </c>
      <c r="O1794" s="4" t="s">
        <v>2662</v>
      </c>
      <c r="P1794" s="4">
        <v>203</v>
      </c>
      <c r="Q1794" s="4" t="str">
        <f t="shared" si="89"/>
        <v>江门市</v>
      </c>
      <c r="R1794" s="4">
        <f t="shared" ref="R1794:R1857" si="90">VLOOKUP(P1794,$I$2:$M$346,3,FALSE)</f>
        <v>19</v>
      </c>
      <c r="S1794" s="4" t="str">
        <f t="shared" ref="S1794:S1857" si="91">VLOOKUP(P1794,$I$2:$M$346,4,FALSE)</f>
        <v>广东省</v>
      </c>
    </row>
    <row r="1795" spans="14:19">
      <c r="N1795" s="4">
        <v>1794</v>
      </c>
      <c r="O1795" s="4" t="s">
        <v>2663</v>
      </c>
      <c r="P1795" s="4">
        <v>203</v>
      </c>
      <c r="Q1795" s="4" t="str">
        <f t="shared" ref="Q1795:Q1858" si="92">VLOOKUP(P1795,$I$2:$J$346,2,FALSE)</f>
        <v>江门市</v>
      </c>
      <c r="R1795" s="4">
        <f t="shared" si="90"/>
        <v>19</v>
      </c>
      <c r="S1795" s="4" t="str">
        <f t="shared" si="91"/>
        <v>广东省</v>
      </c>
    </row>
    <row r="1796" spans="14:19">
      <c r="N1796" s="4">
        <v>1795</v>
      </c>
      <c r="O1796" s="4" t="s">
        <v>2664</v>
      </c>
      <c r="P1796" s="4">
        <v>203</v>
      </c>
      <c r="Q1796" s="4" t="str">
        <f t="shared" si="92"/>
        <v>江门市</v>
      </c>
      <c r="R1796" s="4">
        <f t="shared" si="90"/>
        <v>19</v>
      </c>
      <c r="S1796" s="4" t="str">
        <f t="shared" si="91"/>
        <v>广东省</v>
      </c>
    </row>
    <row r="1797" spans="14:19">
      <c r="N1797" s="4">
        <v>1796</v>
      </c>
      <c r="O1797" s="4" t="s">
        <v>2665</v>
      </c>
      <c r="P1797" s="4">
        <v>203</v>
      </c>
      <c r="Q1797" s="4" t="str">
        <f t="shared" si="92"/>
        <v>江门市</v>
      </c>
      <c r="R1797" s="4">
        <f t="shared" si="90"/>
        <v>19</v>
      </c>
      <c r="S1797" s="4" t="str">
        <f t="shared" si="91"/>
        <v>广东省</v>
      </c>
    </row>
    <row r="1798" spans="14:19">
      <c r="N1798" s="4">
        <v>1797</v>
      </c>
      <c r="O1798" s="4" t="s">
        <v>2666</v>
      </c>
      <c r="P1798" s="4">
        <v>204</v>
      </c>
      <c r="Q1798" s="4" t="str">
        <f t="shared" si="92"/>
        <v>湛江市</v>
      </c>
      <c r="R1798" s="4">
        <f t="shared" si="90"/>
        <v>19</v>
      </c>
      <c r="S1798" s="4" t="str">
        <f t="shared" si="91"/>
        <v>广东省</v>
      </c>
    </row>
    <row r="1799" spans="14:19">
      <c r="N1799" s="4">
        <v>1798</v>
      </c>
      <c r="O1799" s="4" t="s">
        <v>2667</v>
      </c>
      <c r="P1799" s="4">
        <v>204</v>
      </c>
      <c r="Q1799" s="4" t="str">
        <f t="shared" si="92"/>
        <v>湛江市</v>
      </c>
      <c r="R1799" s="4">
        <f t="shared" si="90"/>
        <v>19</v>
      </c>
      <c r="S1799" s="4" t="str">
        <f t="shared" si="91"/>
        <v>广东省</v>
      </c>
    </row>
    <row r="1800" spans="14:19">
      <c r="N1800" s="4">
        <v>1799</v>
      </c>
      <c r="O1800" s="4" t="s">
        <v>2668</v>
      </c>
      <c r="P1800" s="4">
        <v>204</v>
      </c>
      <c r="Q1800" s="4" t="str">
        <f t="shared" si="92"/>
        <v>湛江市</v>
      </c>
      <c r="R1800" s="4">
        <f t="shared" si="90"/>
        <v>19</v>
      </c>
      <c r="S1800" s="4" t="str">
        <f t="shared" si="91"/>
        <v>广东省</v>
      </c>
    </row>
    <row r="1801" spans="14:19">
      <c r="N1801" s="4">
        <v>1800</v>
      </c>
      <c r="O1801" s="4" t="s">
        <v>2669</v>
      </c>
      <c r="P1801" s="4">
        <v>204</v>
      </c>
      <c r="Q1801" s="4" t="str">
        <f t="shared" si="92"/>
        <v>湛江市</v>
      </c>
      <c r="R1801" s="4">
        <f t="shared" si="90"/>
        <v>19</v>
      </c>
      <c r="S1801" s="4" t="str">
        <f t="shared" si="91"/>
        <v>广东省</v>
      </c>
    </row>
    <row r="1802" spans="14:19">
      <c r="N1802" s="4">
        <v>1801</v>
      </c>
      <c r="O1802" s="4" t="s">
        <v>2670</v>
      </c>
      <c r="P1802" s="4">
        <v>204</v>
      </c>
      <c r="Q1802" s="4" t="str">
        <f t="shared" si="92"/>
        <v>湛江市</v>
      </c>
      <c r="R1802" s="4">
        <f t="shared" si="90"/>
        <v>19</v>
      </c>
      <c r="S1802" s="4" t="str">
        <f t="shared" si="91"/>
        <v>广东省</v>
      </c>
    </row>
    <row r="1803" spans="14:19">
      <c r="N1803" s="4">
        <v>1802</v>
      </c>
      <c r="O1803" s="4" t="s">
        <v>2671</v>
      </c>
      <c r="P1803" s="4">
        <v>204</v>
      </c>
      <c r="Q1803" s="4" t="str">
        <f t="shared" si="92"/>
        <v>湛江市</v>
      </c>
      <c r="R1803" s="4">
        <f t="shared" si="90"/>
        <v>19</v>
      </c>
      <c r="S1803" s="4" t="str">
        <f t="shared" si="91"/>
        <v>广东省</v>
      </c>
    </row>
    <row r="1804" spans="14:19">
      <c r="N1804" s="4">
        <v>1803</v>
      </c>
      <c r="O1804" s="4" t="s">
        <v>2672</v>
      </c>
      <c r="P1804" s="4">
        <v>204</v>
      </c>
      <c r="Q1804" s="4" t="str">
        <f t="shared" si="92"/>
        <v>湛江市</v>
      </c>
      <c r="R1804" s="4">
        <f t="shared" si="90"/>
        <v>19</v>
      </c>
      <c r="S1804" s="4" t="str">
        <f t="shared" si="91"/>
        <v>广东省</v>
      </c>
    </row>
    <row r="1805" spans="14:19">
      <c r="N1805" s="4">
        <v>1804</v>
      </c>
      <c r="O1805" s="4" t="s">
        <v>2673</v>
      </c>
      <c r="P1805" s="4">
        <v>204</v>
      </c>
      <c r="Q1805" s="4" t="str">
        <f t="shared" si="92"/>
        <v>湛江市</v>
      </c>
      <c r="R1805" s="4">
        <f t="shared" si="90"/>
        <v>19</v>
      </c>
      <c r="S1805" s="4" t="str">
        <f t="shared" si="91"/>
        <v>广东省</v>
      </c>
    </row>
    <row r="1806" spans="14:19">
      <c r="N1806" s="4">
        <v>1805</v>
      </c>
      <c r="O1806" s="4" t="s">
        <v>2674</v>
      </c>
      <c r="P1806" s="4">
        <v>204</v>
      </c>
      <c r="Q1806" s="4" t="str">
        <f t="shared" si="92"/>
        <v>湛江市</v>
      </c>
      <c r="R1806" s="4">
        <f t="shared" si="90"/>
        <v>19</v>
      </c>
      <c r="S1806" s="4" t="str">
        <f t="shared" si="91"/>
        <v>广东省</v>
      </c>
    </row>
    <row r="1807" spans="14:19">
      <c r="N1807" s="4">
        <v>1806</v>
      </c>
      <c r="O1807" s="4" t="s">
        <v>2675</v>
      </c>
      <c r="P1807" s="4">
        <v>205</v>
      </c>
      <c r="Q1807" s="4" t="str">
        <f t="shared" si="92"/>
        <v>茂名市</v>
      </c>
      <c r="R1807" s="4">
        <f t="shared" si="90"/>
        <v>19</v>
      </c>
      <c r="S1807" s="4" t="str">
        <f t="shared" si="91"/>
        <v>广东省</v>
      </c>
    </row>
    <row r="1808" spans="14:19">
      <c r="N1808" s="4">
        <v>1807</v>
      </c>
      <c r="O1808" s="4" t="s">
        <v>2676</v>
      </c>
      <c r="P1808" s="4">
        <v>205</v>
      </c>
      <c r="Q1808" s="4" t="str">
        <f t="shared" si="92"/>
        <v>茂名市</v>
      </c>
      <c r="R1808" s="4">
        <f t="shared" si="90"/>
        <v>19</v>
      </c>
      <c r="S1808" s="4" t="str">
        <f t="shared" si="91"/>
        <v>广东省</v>
      </c>
    </row>
    <row r="1809" spans="14:19">
      <c r="N1809" s="4">
        <v>1808</v>
      </c>
      <c r="O1809" s="4" t="s">
        <v>2677</v>
      </c>
      <c r="P1809" s="4">
        <v>205</v>
      </c>
      <c r="Q1809" s="4" t="str">
        <f t="shared" si="92"/>
        <v>茂名市</v>
      </c>
      <c r="R1809" s="4">
        <f t="shared" si="90"/>
        <v>19</v>
      </c>
      <c r="S1809" s="4" t="str">
        <f t="shared" si="91"/>
        <v>广东省</v>
      </c>
    </row>
    <row r="1810" spans="14:19">
      <c r="N1810" s="4">
        <v>1809</v>
      </c>
      <c r="O1810" s="4" t="s">
        <v>2678</v>
      </c>
      <c r="P1810" s="4">
        <v>205</v>
      </c>
      <c r="Q1810" s="4" t="str">
        <f t="shared" si="92"/>
        <v>茂名市</v>
      </c>
      <c r="R1810" s="4">
        <f t="shared" si="90"/>
        <v>19</v>
      </c>
      <c r="S1810" s="4" t="str">
        <f t="shared" si="91"/>
        <v>广东省</v>
      </c>
    </row>
    <row r="1811" spans="14:19">
      <c r="N1811" s="4">
        <v>1810</v>
      </c>
      <c r="O1811" s="4" t="s">
        <v>2679</v>
      </c>
      <c r="P1811" s="4">
        <v>205</v>
      </c>
      <c r="Q1811" s="4" t="str">
        <f t="shared" si="92"/>
        <v>茂名市</v>
      </c>
      <c r="R1811" s="4">
        <f t="shared" si="90"/>
        <v>19</v>
      </c>
      <c r="S1811" s="4" t="str">
        <f t="shared" si="91"/>
        <v>广东省</v>
      </c>
    </row>
    <row r="1812" spans="14:19">
      <c r="N1812" s="4">
        <v>1811</v>
      </c>
      <c r="O1812" s="4" t="s">
        <v>2680</v>
      </c>
      <c r="P1812" s="4">
        <v>205</v>
      </c>
      <c r="Q1812" s="4" t="str">
        <f t="shared" si="92"/>
        <v>茂名市</v>
      </c>
      <c r="R1812" s="4">
        <f t="shared" si="90"/>
        <v>19</v>
      </c>
      <c r="S1812" s="4" t="str">
        <f t="shared" si="91"/>
        <v>广东省</v>
      </c>
    </row>
    <row r="1813" spans="14:19">
      <c r="N1813" s="4">
        <v>1812</v>
      </c>
      <c r="O1813" s="4" t="s">
        <v>2681</v>
      </c>
      <c r="P1813" s="4">
        <v>206</v>
      </c>
      <c r="Q1813" s="4" t="str">
        <f t="shared" si="92"/>
        <v>肇庆市</v>
      </c>
      <c r="R1813" s="4">
        <f t="shared" si="90"/>
        <v>19</v>
      </c>
      <c r="S1813" s="4" t="str">
        <f t="shared" si="91"/>
        <v>广东省</v>
      </c>
    </row>
    <row r="1814" spans="14:19">
      <c r="N1814" s="4">
        <v>1813</v>
      </c>
      <c r="O1814" s="4" t="s">
        <v>2682</v>
      </c>
      <c r="P1814" s="4">
        <v>206</v>
      </c>
      <c r="Q1814" s="4" t="str">
        <f t="shared" si="92"/>
        <v>肇庆市</v>
      </c>
      <c r="R1814" s="4">
        <f t="shared" si="90"/>
        <v>19</v>
      </c>
      <c r="S1814" s="4" t="str">
        <f t="shared" si="91"/>
        <v>广东省</v>
      </c>
    </row>
    <row r="1815" spans="14:19">
      <c r="N1815" s="4">
        <v>1814</v>
      </c>
      <c r="O1815" s="4" t="s">
        <v>2683</v>
      </c>
      <c r="P1815" s="4">
        <v>206</v>
      </c>
      <c r="Q1815" s="4" t="str">
        <f t="shared" si="92"/>
        <v>肇庆市</v>
      </c>
      <c r="R1815" s="4">
        <f t="shared" si="90"/>
        <v>19</v>
      </c>
      <c r="S1815" s="4" t="str">
        <f t="shared" si="91"/>
        <v>广东省</v>
      </c>
    </row>
    <row r="1816" spans="14:19">
      <c r="N1816" s="4">
        <v>1815</v>
      </c>
      <c r="O1816" s="4" t="s">
        <v>2684</v>
      </c>
      <c r="P1816" s="4">
        <v>206</v>
      </c>
      <c r="Q1816" s="4" t="str">
        <f t="shared" si="92"/>
        <v>肇庆市</v>
      </c>
      <c r="R1816" s="4">
        <f t="shared" si="90"/>
        <v>19</v>
      </c>
      <c r="S1816" s="4" t="str">
        <f t="shared" si="91"/>
        <v>广东省</v>
      </c>
    </row>
    <row r="1817" spans="14:19">
      <c r="N1817" s="4">
        <v>1816</v>
      </c>
      <c r="O1817" s="4" t="s">
        <v>2685</v>
      </c>
      <c r="P1817" s="4">
        <v>206</v>
      </c>
      <c r="Q1817" s="4" t="str">
        <f t="shared" si="92"/>
        <v>肇庆市</v>
      </c>
      <c r="R1817" s="4">
        <f t="shared" si="90"/>
        <v>19</v>
      </c>
      <c r="S1817" s="4" t="str">
        <f t="shared" si="91"/>
        <v>广东省</v>
      </c>
    </row>
    <row r="1818" spans="14:19">
      <c r="N1818" s="4">
        <v>1817</v>
      </c>
      <c r="O1818" s="4" t="s">
        <v>2686</v>
      </c>
      <c r="P1818" s="4">
        <v>206</v>
      </c>
      <c r="Q1818" s="4" t="str">
        <f t="shared" si="92"/>
        <v>肇庆市</v>
      </c>
      <c r="R1818" s="4">
        <f t="shared" si="90"/>
        <v>19</v>
      </c>
      <c r="S1818" s="4" t="str">
        <f t="shared" si="91"/>
        <v>广东省</v>
      </c>
    </row>
    <row r="1819" spans="14:19">
      <c r="N1819" s="4">
        <v>1818</v>
      </c>
      <c r="O1819" s="4" t="s">
        <v>2687</v>
      </c>
      <c r="P1819" s="4">
        <v>206</v>
      </c>
      <c r="Q1819" s="4" t="str">
        <f t="shared" si="92"/>
        <v>肇庆市</v>
      </c>
      <c r="R1819" s="4">
        <f t="shared" si="90"/>
        <v>19</v>
      </c>
      <c r="S1819" s="4" t="str">
        <f t="shared" si="91"/>
        <v>广东省</v>
      </c>
    </row>
    <row r="1820" spans="14:19">
      <c r="N1820" s="4">
        <v>1819</v>
      </c>
      <c r="O1820" s="4" t="s">
        <v>2688</v>
      </c>
      <c r="P1820" s="4">
        <v>206</v>
      </c>
      <c r="Q1820" s="4" t="str">
        <f t="shared" si="92"/>
        <v>肇庆市</v>
      </c>
      <c r="R1820" s="4">
        <f t="shared" si="90"/>
        <v>19</v>
      </c>
      <c r="S1820" s="4" t="str">
        <f t="shared" si="91"/>
        <v>广东省</v>
      </c>
    </row>
    <row r="1821" spans="14:19">
      <c r="N1821" s="4">
        <v>1820</v>
      </c>
      <c r="O1821" s="4" t="s">
        <v>2689</v>
      </c>
      <c r="P1821" s="4">
        <v>207</v>
      </c>
      <c r="Q1821" s="4" t="str">
        <f t="shared" si="92"/>
        <v>惠州市</v>
      </c>
      <c r="R1821" s="4">
        <f t="shared" si="90"/>
        <v>19</v>
      </c>
      <c r="S1821" s="4" t="str">
        <f t="shared" si="91"/>
        <v>广东省</v>
      </c>
    </row>
    <row r="1822" spans="14:19">
      <c r="N1822" s="4">
        <v>1821</v>
      </c>
      <c r="O1822" s="4" t="s">
        <v>2690</v>
      </c>
      <c r="P1822" s="4">
        <v>207</v>
      </c>
      <c r="Q1822" s="4" t="str">
        <f t="shared" si="92"/>
        <v>惠州市</v>
      </c>
      <c r="R1822" s="4">
        <f t="shared" si="90"/>
        <v>19</v>
      </c>
      <c r="S1822" s="4" t="str">
        <f t="shared" si="91"/>
        <v>广东省</v>
      </c>
    </row>
    <row r="1823" spans="14:19">
      <c r="N1823" s="4">
        <v>1822</v>
      </c>
      <c r="O1823" s="4" t="s">
        <v>2691</v>
      </c>
      <c r="P1823" s="4">
        <v>207</v>
      </c>
      <c r="Q1823" s="4" t="str">
        <f t="shared" si="92"/>
        <v>惠州市</v>
      </c>
      <c r="R1823" s="4">
        <f t="shared" si="90"/>
        <v>19</v>
      </c>
      <c r="S1823" s="4" t="str">
        <f t="shared" si="91"/>
        <v>广东省</v>
      </c>
    </row>
    <row r="1824" spans="14:19">
      <c r="N1824" s="4">
        <v>1823</v>
      </c>
      <c r="O1824" s="4" t="s">
        <v>2692</v>
      </c>
      <c r="P1824" s="4">
        <v>207</v>
      </c>
      <c r="Q1824" s="4" t="str">
        <f t="shared" si="92"/>
        <v>惠州市</v>
      </c>
      <c r="R1824" s="4">
        <f t="shared" si="90"/>
        <v>19</v>
      </c>
      <c r="S1824" s="4" t="str">
        <f t="shared" si="91"/>
        <v>广东省</v>
      </c>
    </row>
    <row r="1825" spans="14:19">
      <c r="N1825" s="4">
        <v>1824</v>
      </c>
      <c r="O1825" s="4" t="s">
        <v>2693</v>
      </c>
      <c r="P1825" s="4">
        <v>207</v>
      </c>
      <c r="Q1825" s="4" t="str">
        <f t="shared" si="92"/>
        <v>惠州市</v>
      </c>
      <c r="R1825" s="4">
        <f t="shared" si="90"/>
        <v>19</v>
      </c>
      <c r="S1825" s="4" t="str">
        <f t="shared" si="91"/>
        <v>广东省</v>
      </c>
    </row>
    <row r="1826" spans="14:19">
      <c r="N1826" s="4">
        <v>1825</v>
      </c>
      <c r="O1826" s="4" t="s">
        <v>2694</v>
      </c>
      <c r="P1826" s="4">
        <v>208</v>
      </c>
      <c r="Q1826" s="4" t="str">
        <f t="shared" si="92"/>
        <v>梅州市</v>
      </c>
      <c r="R1826" s="4">
        <f t="shared" si="90"/>
        <v>19</v>
      </c>
      <c r="S1826" s="4" t="str">
        <f t="shared" si="91"/>
        <v>广东省</v>
      </c>
    </row>
    <row r="1827" spans="14:19">
      <c r="N1827" s="4">
        <v>1826</v>
      </c>
      <c r="O1827" s="4" t="s">
        <v>2695</v>
      </c>
      <c r="P1827" s="4">
        <v>208</v>
      </c>
      <c r="Q1827" s="4" t="str">
        <f t="shared" si="92"/>
        <v>梅州市</v>
      </c>
      <c r="R1827" s="4">
        <f t="shared" si="90"/>
        <v>19</v>
      </c>
      <c r="S1827" s="4" t="str">
        <f t="shared" si="91"/>
        <v>广东省</v>
      </c>
    </row>
    <row r="1828" spans="14:19">
      <c r="N1828" s="4">
        <v>1827</v>
      </c>
      <c r="O1828" s="4" t="s">
        <v>2696</v>
      </c>
      <c r="P1828" s="4">
        <v>208</v>
      </c>
      <c r="Q1828" s="4" t="str">
        <f t="shared" si="92"/>
        <v>梅州市</v>
      </c>
      <c r="R1828" s="4">
        <f t="shared" si="90"/>
        <v>19</v>
      </c>
      <c r="S1828" s="4" t="str">
        <f t="shared" si="91"/>
        <v>广东省</v>
      </c>
    </row>
    <row r="1829" spans="14:19">
      <c r="N1829" s="4">
        <v>1828</v>
      </c>
      <c r="O1829" s="4" t="s">
        <v>2697</v>
      </c>
      <c r="P1829" s="4">
        <v>208</v>
      </c>
      <c r="Q1829" s="4" t="str">
        <f t="shared" si="92"/>
        <v>梅州市</v>
      </c>
      <c r="R1829" s="4">
        <f t="shared" si="90"/>
        <v>19</v>
      </c>
      <c r="S1829" s="4" t="str">
        <f t="shared" si="91"/>
        <v>广东省</v>
      </c>
    </row>
    <row r="1830" spans="14:19">
      <c r="N1830" s="4">
        <v>1829</v>
      </c>
      <c r="O1830" s="4" t="s">
        <v>2698</v>
      </c>
      <c r="P1830" s="4">
        <v>208</v>
      </c>
      <c r="Q1830" s="4" t="str">
        <f t="shared" si="92"/>
        <v>梅州市</v>
      </c>
      <c r="R1830" s="4">
        <f t="shared" si="90"/>
        <v>19</v>
      </c>
      <c r="S1830" s="4" t="str">
        <f t="shared" si="91"/>
        <v>广东省</v>
      </c>
    </row>
    <row r="1831" spans="14:19">
      <c r="N1831" s="4">
        <v>1830</v>
      </c>
      <c r="O1831" s="4" t="s">
        <v>2699</v>
      </c>
      <c r="P1831" s="4">
        <v>208</v>
      </c>
      <c r="Q1831" s="4" t="str">
        <f t="shared" si="92"/>
        <v>梅州市</v>
      </c>
      <c r="R1831" s="4">
        <f t="shared" si="90"/>
        <v>19</v>
      </c>
      <c r="S1831" s="4" t="str">
        <f t="shared" si="91"/>
        <v>广东省</v>
      </c>
    </row>
    <row r="1832" spans="14:19">
      <c r="N1832" s="4">
        <v>1831</v>
      </c>
      <c r="O1832" s="4" t="s">
        <v>2700</v>
      </c>
      <c r="P1832" s="4">
        <v>208</v>
      </c>
      <c r="Q1832" s="4" t="str">
        <f t="shared" si="92"/>
        <v>梅州市</v>
      </c>
      <c r="R1832" s="4">
        <f t="shared" si="90"/>
        <v>19</v>
      </c>
      <c r="S1832" s="4" t="str">
        <f t="shared" si="91"/>
        <v>广东省</v>
      </c>
    </row>
    <row r="1833" spans="14:19">
      <c r="N1833" s="4">
        <v>1832</v>
      </c>
      <c r="O1833" s="4" t="s">
        <v>2701</v>
      </c>
      <c r="P1833" s="4">
        <v>208</v>
      </c>
      <c r="Q1833" s="4" t="str">
        <f t="shared" si="92"/>
        <v>梅州市</v>
      </c>
      <c r="R1833" s="4">
        <f t="shared" si="90"/>
        <v>19</v>
      </c>
      <c r="S1833" s="4" t="str">
        <f t="shared" si="91"/>
        <v>广东省</v>
      </c>
    </row>
    <row r="1834" spans="14:19">
      <c r="N1834" s="4">
        <v>1833</v>
      </c>
      <c r="O1834" s="4" t="s">
        <v>877</v>
      </c>
      <c r="P1834" s="4">
        <v>209</v>
      </c>
      <c r="Q1834" s="4" t="str">
        <f t="shared" si="92"/>
        <v>汕尾市</v>
      </c>
      <c r="R1834" s="4">
        <f t="shared" si="90"/>
        <v>19</v>
      </c>
      <c r="S1834" s="4" t="str">
        <f t="shared" si="91"/>
        <v>广东省</v>
      </c>
    </row>
    <row r="1835" spans="14:19">
      <c r="N1835" s="4">
        <v>1834</v>
      </c>
      <c r="O1835" s="4" t="s">
        <v>2702</v>
      </c>
      <c r="P1835" s="4">
        <v>209</v>
      </c>
      <c r="Q1835" s="4" t="str">
        <f t="shared" si="92"/>
        <v>汕尾市</v>
      </c>
      <c r="R1835" s="4">
        <f t="shared" si="90"/>
        <v>19</v>
      </c>
      <c r="S1835" s="4" t="str">
        <f t="shared" si="91"/>
        <v>广东省</v>
      </c>
    </row>
    <row r="1836" spans="14:19">
      <c r="N1836" s="4">
        <v>1835</v>
      </c>
      <c r="O1836" s="4" t="s">
        <v>2703</v>
      </c>
      <c r="P1836" s="4">
        <v>209</v>
      </c>
      <c r="Q1836" s="4" t="str">
        <f t="shared" si="92"/>
        <v>汕尾市</v>
      </c>
      <c r="R1836" s="4">
        <f t="shared" si="90"/>
        <v>19</v>
      </c>
      <c r="S1836" s="4" t="str">
        <f t="shared" si="91"/>
        <v>广东省</v>
      </c>
    </row>
    <row r="1837" spans="14:19">
      <c r="N1837" s="4">
        <v>1836</v>
      </c>
      <c r="O1837" s="4" t="s">
        <v>2704</v>
      </c>
      <c r="P1837" s="4">
        <v>209</v>
      </c>
      <c r="Q1837" s="4" t="str">
        <f t="shared" si="92"/>
        <v>汕尾市</v>
      </c>
      <c r="R1837" s="4">
        <f t="shared" si="90"/>
        <v>19</v>
      </c>
      <c r="S1837" s="4" t="str">
        <f t="shared" si="91"/>
        <v>广东省</v>
      </c>
    </row>
    <row r="1838" spans="14:19">
      <c r="N1838" s="4">
        <v>1837</v>
      </c>
      <c r="O1838" s="4" t="s">
        <v>2705</v>
      </c>
      <c r="P1838" s="4">
        <v>210</v>
      </c>
      <c r="Q1838" s="4" t="str">
        <f t="shared" si="92"/>
        <v>河源市</v>
      </c>
      <c r="R1838" s="4">
        <f t="shared" si="90"/>
        <v>19</v>
      </c>
      <c r="S1838" s="4" t="str">
        <f t="shared" si="91"/>
        <v>广东省</v>
      </c>
    </row>
    <row r="1839" spans="14:19">
      <c r="N1839" s="4">
        <v>1838</v>
      </c>
      <c r="O1839" s="4" t="s">
        <v>2706</v>
      </c>
      <c r="P1839" s="4">
        <v>210</v>
      </c>
      <c r="Q1839" s="4" t="str">
        <f t="shared" si="92"/>
        <v>河源市</v>
      </c>
      <c r="R1839" s="4">
        <f t="shared" si="90"/>
        <v>19</v>
      </c>
      <c r="S1839" s="4" t="str">
        <f t="shared" si="91"/>
        <v>广东省</v>
      </c>
    </row>
    <row r="1840" spans="14:19">
      <c r="N1840" s="4">
        <v>1839</v>
      </c>
      <c r="O1840" s="4" t="s">
        <v>2707</v>
      </c>
      <c r="P1840" s="4">
        <v>210</v>
      </c>
      <c r="Q1840" s="4" t="str">
        <f t="shared" si="92"/>
        <v>河源市</v>
      </c>
      <c r="R1840" s="4">
        <f t="shared" si="90"/>
        <v>19</v>
      </c>
      <c r="S1840" s="4" t="str">
        <f t="shared" si="91"/>
        <v>广东省</v>
      </c>
    </row>
    <row r="1841" spans="14:19">
      <c r="N1841" s="4">
        <v>1840</v>
      </c>
      <c r="O1841" s="4" t="s">
        <v>2708</v>
      </c>
      <c r="P1841" s="4">
        <v>210</v>
      </c>
      <c r="Q1841" s="4" t="str">
        <f t="shared" si="92"/>
        <v>河源市</v>
      </c>
      <c r="R1841" s="4">
        <f t="shared" si="90"/>
        <v>19</v>
      </c>
      <c r="S1841" s="4" t="str">
        <f t="shared" si="91"/>
        <v>广东省</v>
      </c>
    </row>
    <row r="1842" spans="14:19">
      <c r="N1842" s="4">
        <v>1841</v>
      </c>
      <c r="O1842" s="4" t="s">
        <v>2709</v>
      </c>
      <c r="P1842" s="4">
        <v>210</v>
      </c>
      <c r="Q1842" s="4" t="str">
        <f t="shared" si="92"/>
        <v>河源市</v>
      </c>
      <c r="R1842" s="4">
        <f t="shared" si="90"/>
        <v>19</v>
      </c>
      <c r="S1842" s="4" t="str">
        <f t="shared" si="91"/>
        <v>广东省</v>
      </c>
    </row>
    <row r="1843" spans="14:19">
      <c r="N1843" s="4">
        <v>1842</v>
      </c>
      <c r="O1843" s="4" t="s">
        <v>2710</v>
      </c>
      <c r="P1843" s="4">
        <v>210</v>
      </c>
      <c r="Q1843" s="4" t="str">
        <f t="shared" si="92"/>
        <v>河源市</v>
      </c>
      <c r="R1843" s="4">
        <f t="shared" si="90"/>
        <v>19</v>
      </c>
      <c r="S1843" s="4" t="str">
        <f t="shared" si="91"/>
        <v>广东省</v>
      </c>
    </row>
    <row r="1844" spans="14:19">
      <c r="N1844" s="4">
        <v>1843</v>
      </c>
      <c r="O1844" s="4" t="s">
        <v>2711</v>
      </c>
      <c r="P1844" s="4">
        <v>211</v>
      </c>
      <c r="Q1844" s="4" t="str">
        <f t="shared" si="92"/>
        <v>阳江市</v>
      </c>
      <c r="R1844" s="4">
        <f t="shared" si="90"/>
        <v>19</v>
      </c>
      <c r="S1844" s="4" t="str">
        <f t="shared" si="91"/>
        <v>广东省</v>
      </c>
    </row>
    <row r="1845" spans="14:19">
      <c r="N1845" s="4">
        <v>1844</v>
      </c>
      <c r="O1845" s="4" t="s">
        <v>2712</v>
      </c>
      <c r="P1845" s="4">
        <v>211</v>
      </c>
      <c r="Q1845" s="4" t="str">
        <f t="shared" si="92"/>
        <v>阳江市</v>
      </c>
      <c r="R1845" s="4">
        <f t="shared" si="90"/>
        <v>19</v>
      </c>
      <c r="S1845" s="4" t="str">
        <f t="shared" si="91"/>
        <v>广东省</v>
      </c>
    </row>
    <row r="1846" spans="14:19">
      <c r="N1846" s="4">
        <v>1845</v>
      </c>
      <c r="O1846" s="4" t="s">
        <v>2713</v>
      </c>
      <c r="P1846" s="4">
        <v>211</v>
      </c>
      <c r="Q1846" s="4" t="str">
        <f t="shared" si="92"/>
        <v>阳江市</v>
      </c>
      <c r="R1846" s="4">
        <f t="shared" si="90"/>
        <v>19</v>
      </c>
      <c r="S1846" s="4" t="str">
        <f t="shared" si="91"/>
        <v>广东省</v>
      </c>
    </row>
    <row r="1847" spans="14:19">
      <c r="N1847" s="4">
        <v>1846</v>
      </c>
      <c r="O1847" s="4" t="s">
        <v>2714</v>
      </c>
      <c r="P1847" s="4">
        <v>211</v>
      </c>
      <c r="Q1847" s="4" t="str">
        <f t="shared" si="92"/>
        <v>阳江市</v>
      </c>
      <c r="R1847" s="4">
        <f t="shared" si="90"/>
        <v>19</v>
      </c>
      <c r="S1847" s="4" t="str">
        <f t="shared" si="91"/>
        <v>广东省</v>
      </c>
    </row>
    <row r="1848" spans="14:19">
      <c r="N1848" s="4">
        <v>1847</v>
      </c>
      <c r="O1848" s="4" t="s">
        <v>2715</v>
      </c>
      <c r="P1848" s="4">
        <v>212</v>
      </c>
      <c r="Q1848" s="4" t="str">
        <f t="shared" si="92"/>
        <v>清远市</v>
      </c>
      <c r="R1848" s="4">
        <f t="shared" si="90"/>
        <v>19</v>
      </c>
      <c r="S1848" s="4" t="str">
        <f t="shared" si="91"/>
        <v>广东省</v>
      </c>
    </row>
    <row r="1849" spans="14:19">
      <c r="N1849" s="4">
        <v>1848</v>
      </c>
      <c r="O1849" s="4" t="s">
        <v>2716</v>
      </c>
      <c r="P1849" s="4">
        <v>212</v>
      </c>
      <c r="Q1849" s="4" t="str">
        <f t="shared" si="92"/>
        <v>清远市</v>
      </c>
      <c r="R1849" s="4">
        <f t="shared" si="90"/>
        <v>19</v>
      </c>
      <c r="S1849" s="4" t="str">
        <f t="shared" si="91"/>
        <v>广东省</v>
      </c>
    </row>
    <row r="1850" spans="14:19">
      <c r="N1850" s="4">
        <v>1849</v>
      </c>
      <c r="O1850" s="4" t="s">
        <v>2717</v>
      </c>
      <c r="P1850" s="4">
        <v>212</v>
      </c>
      <c r="Q1850" s="4" t="str">
        <f t="shared" si="92"/>
        <v>清远市</v>
      </c>
      <c r="R1850" s="4">
        <f t="shared" si="90"/>
        <v>19</v>
      </c>
      <c r="S1850" s="4" t="str">
        <f t="shared" si="91"/>
        <v>广东省</v>
      </c>
    </row>
    <row r="1851" spans="14:19">
      <c r="N1851" s="4">
        <v>1850</v>
      </c>
      <c r="O1851" s="4" t="s">
        <v>2718</v>
      </c>
      <c r="P1851" s="4">
        <v>212</v>
      </c>
      <c r="Q1851" s="4" t="str">
        <f t="shared" si="92"/>
        <v>清远市</v>
      </c>
      <c r="R1851" s="4">
        <f t="shared" si="90"/>
        <v>19</v>
      </c>
      <c r="S1851" s="4" t="str">
        <f t="shared" si="91"/>
        <v>广东省</v>
      </c>
    </row>
    <row r="1852" spans="14:19">
      <c r="N1852" s="4">
        <v>1851</v>
      </c>
      <c r="O1852" s="4" t="s">
        <v>2719</v>
      </c>
      <c r="P1852" s="4">
        <v>212</v>
      </c>
      <c r="Q1852" s="4" t="str">
        <f t="shared" si="92"/>
        <v>清远市</v>
      </c>
      <c r="R1852" s="4">
        <f t="shared" si="90"/>
        <v>19</v>
      </c>
      <c r="S1852" s="4" t="str">
        <f t="shared" si="91"/>
        <v>广东省</v>
      </c>
    </row>
    <row r="1853" spans="14:19">
      <c r="N1853" s="4">
        <v>1852</v>
      </c>
      <c r="O1853" s="4" t="s">
        <v>2720</v>
      </c>
      <c r="P1853" s="4">
        <v>212</v>
      </c>
      <c r="Q1853" s="4" t="str">
        <f t="shared" si="92"/>
        <v>清远市</v>
      </c>
      <c r="R1853" s="4">
        <f t="shared" si="90"/>
        <v>19</v>
      </c>
      <c r="S1853" s="4" t="str">
        <f t="shared" si="91"/>
        <v>广东省</v>
      </c>
    </row>
    <row r="1854" spans="14:19">
      <c r="N1854" s="4">
        <v>1853</v>
      </c>
      <c r="O1854" s="4" t="s">
        <v>2721</v>
      </c>
      <c r="P1854" s="4">
        <v>212</v>
      </c>
      <c r="Q1854" s="4" t="str">
        <f t="shared" si="92"/>
        <v>清远市</v>
      </c>
      <c r="R1854" s="4">
        <f t="shared" si="90"/>
        <v>19</v>
      </c>
      <c r="S1854" s="4" t="str">
        <f t="shared" si="91"/>
        <v>广东省</v>
      </c>
    </row>
    <row r="1855" spans="14:19">
      <c r="N1855" s="4">
        <v>1854</v>
      </c>
      <c r="O1855" s="4" t="s">
        <v>2722</v>
      </c>
      <c r="P1855" s="4">
        <v>212</v>
      </c>
      <c r="Q1855" s="4" t="str">
        <f t="shared" si="92"/>
        <v>清远市</v>
      </c>
      <c r="R1855" s="4">
        <f t="shared" si="90"/>
        <v>19</v>
      </c>
      <c r="S1855" s="4" t="str">
        <f t="shared" si="91"/>
        <v>广东省</v>
      </c>
    </row>
    <row r="1856" spans="14:19">
      <c r="N1856" s="4">
        <v>1855</v>
      </c>
      <c r="O1856" s="4" t="s">
        <v>2723</v>
      </c>
      <c r="P1856" s="4">
        <v>215</v>
      </c>
      <c r="Q1856" s="4" t="str">
        <f t="shared" si="92"/>
        <v>潮州市</v>
      </c>
      <c r="R1856" s="4">
        <f t="shared" si="90"/>
        <v>19</v>
      </c>
      <c r="S1856" s="4" t="str">
        <f t="shared" si="91"/>
        <v>广东省</v>
      </c>
    </row>
    <row r="1857" spans="14:19">
      <c r="N1857" s="4">
        <v>1856</v>
      </c>
      <c r="O1857" s="4" t="s">
        <v>2724</v>
      </c>
      <c r="P1857" s="4">
        <v>215</v>
      </c>
      <c r="Q1857" s="4" t="str">
        <f t="shared" si="92"/>
        <v>潮州市</v>
      </c>
      <c r="R1857" s="4">
        <f t="shared" si="90"/>
        <v>19</v>
      </c>
      <c r="S1857" s="4" t="str">
        <f t="shared" si="91"/>
        <v>广东省</v>
      </c>
    </row>
    <row r="1858" spans="14:19">
      <c r="N1858" s="4">
        <v>1857</v>
      </c>
      <c r="O1858" s="4" t="s">
        <v>2725</v>
      </c>
      <c r="P1858" s="4">
        <v>215</v>
      </c>
      <c r="Q1858" s="4" t="str">
        <f t="shared" si="92"/>
        <v>潮州市</v>
      </c>
      <c r="R1858" s="4">
        <f t="shared" ref="R1858:R1921" si="93">VLOOKUP(P1858,$I$2:$M$346,3,FALSE)</f>
        <v>19</v>
      </c>
      <c r="S1858" s="4" t="str">
        <f t="shared" ref="S1858:S1921" si="94">VLOOKUP(P1858,$I$2:$M$346,4,FALSE)</f>
        <v>广东省</v>
      </c>
    </row>
    <row r="1859" spans="14:19">
      <c r="N1859" s="4">
        <v>1858</v>
      </c>
      <c r="O1859" s="4" t="s">
        <v>2726</v>
      </c>
      <c r="P1859" s="4">
        <v>216</v>
      </c>
      <c r="Q1859" s="4" t="str">
        <f t="shared" ref="Q1859:Q1922" si="95">VLOOKUP(P1859,$I$2:$J$346,2,FALSE)</f>
        <v>揭阳市</v>
      </c>
      <c r="R1859" s="4">
        <f t="shared" si="93"/>
        <v>19</v>
      </c>
      <c r="S1859" s="4" t="str">
        <f t="shared" si="94"/>
        <v>广东省</v>
      </c>
    </row>
    <row r="1860" spans="14:19">
      <c r="N1860" s="4">
        <v>1859</v>
      </c>
      <c r="O1860" s="4" t="s">
        <v>2727</v>
      </c>
      <c r="P1860" s="4">
        <v>216</v>
      </c>
      <c r="Q1860" s="4" t="str">
        <f t="shared" si="95"/>
        <v>揭阳市</v>
      </c>
      <c r="R1860" s="4">
        <f t="shared" si="93"/>
        <v>19</v>
      </c>
      <c r="S1860" s="4" t="str">
        <f t="shared" si="94"/>
        <v>广东省</v>
      </c>
    </row>
    <row r="1861" spans="14:19">
      <c r="N1861" s="4">
        <v>1860</v>
      </c>
      <c r="O1861" s="4" t="s">
        <v>2728</v>
      </c>
      <c r="P1861" s="4">
        <v>216</v>
      </c>
      <c r="Q1861" s="4" t="str">
        <f t="shared" si="95"/>
        <v>揭阳市</v>
      </c>
      <c r="R1861" s="4">
        <f t="shared" si="93"/>
        <v>19</v>
      </c>
      <c r="S1861" s="4" t="str">
        <f t="shared" si="94"/>
        <v>广东省</v>
      </c>
    </row>
    <row r="1862" spans="14:19">
      <c r="N1862" s="4">
        <v>1861</v>
      </c>
      <c r="O1862" s="4" t="s">
        <v>2729</v>
      </c>
      <c r="P1862" s="4">
        <v>216</v>
      </c>
      <c r="Q1862" s="4" t="str">
        <f t="shared" si="95"/>
        <v>揭阳市</v>
      </c>
      <c r="R1862" s="4">
        <f t="shared" si="93"/>
        <v>19</v>
      </c>
      <c r="S1862" s="4" t="str">
        <f t="shared" si="94"/>
        <v>广东省</v>
      </c>
    </row>
    <row r="1863" spans="14:19">
      <c r="N1863" s="4">
        <v>1862</v>
      </c>
      <c r="O1863" s="4" t="s">
        <v>2730</v>
      </c>
      <c r="P1863" s="4">
        <v>216</v>
      </c>
      <c r="Q1863" s="4" t="str">
        <f t="shared" si="95"/>
        <v>揭阳市</v>
      </c>
      <c r="R1863" s="4">
        <f t="shared" si="93"/>
        <v>19</v>
      </c>
      <c r="S1863" s="4" t="str">
        <f t="shared" si="94"/>
        <v>广东省</v>
      </c>
    </row>
    <row r="1864" spans="14:19">
      <c r="N1864" s="4">
        <v>1863</v>
      </c>
      <c r="O1864" s="4" t="s">
        <v>2731</v>
      </c>
      <c r="P1864" s="4">
        <v>217</v>
      </c>
      <c r="Q1864" s="4" t="str">
        <f t="shared" si="95"/>
        <v>云浮市</v>
      </c>
      <c r="R1864" s="4">
        <f t="shared" si="93"/>
        <v>19</v>
      </c>
      <c r="S1864" s="4" t="str">
        <f t="shared" si="94"/>
        <v>广东省</v>
      </c>
    </row>
    <row r="1865" spans="14:19">
      <c r="N1865" s="4">
        <v>1864</v>
      </c>
      <c r="O1865" s="4" t="s">
        <v>2732</v>
      </c>
      <c r="P1865" s="4">
        <v>217</v>
      </c>
      <c r="Q1865" s="4" t="str">
        <f t="shared" si="95"/>
        <v>云浮市</v>
      </c>
      <c r="R1865" s="4">
        <f t="shared" si="93"/>
        <v>19</v>
      </c>
      <c r="S1865" s="4" t="str">
        <f t="shared" si="94"/>
        <v>广东省</v>
      </c>
    </row>
    <row r="1866" spans="14:19">
      <c r="N1866" s="4">
        <v>1865</v>
      </c>
      <c r="O1866" s="4" t="s">
        <v>2733</v>
      </c>
      <c r="P1866" s="4">
        <v>217</v>
      </c>
      <c r="Q1866" s="4" t="str">
        <f t="shared" si="95"/>
        <v>云浮市</v>
      </c>
      <c r="R1866" s="4">
        <f t="shared" si="93"/>
        <v>19</v>
      </c>
      <c r="S1866" s="4" t="str">
        <f t="shared" si="94"/>
        <v>广东省</v>
      </c>
    </row>
    <row r="1867" spans="14:19">
      <c r="N1867" s="4">
        <v>1866</v>
      </c>
      <c r="O1867" s="4" t="s">
        <v>2734</v>
      </c>
      <c r="P1867" s="4">
        <v>217</v>
      </c>
      <c r="Q1867" s="4" t="str">
        <f t="shared" si="95"/>
        <v>云浮市</v>
      </c>
      <c r="R1867" s="4">
        <f t="shared" si="93"/>
        <v>19</v>
      </c>
      <c r="S1867" s="4" t="str">
        <f t="shared" si="94"/>
        <v>广东省</v>
      </c>
    </row>
    <row r="1868" spans="14:19">
      <c r="N1868" s="4">
        <v>1867</v>
      </c>
      <c r="O1868" s="4" t="s">
        <v>2735</v>
      </c>
      <c r="P1868" s="4">
        <v>217</v>
      </c>
      <c r="Q1868" s="4" t="str">
        <f t="shared" si="95"/>
        <v>云浮市</v>
      </c>
      <c r="R1868" s="4">
        <f t="shared" si="93"/>
        <v>19</v>
      </c>
      <c r="S1868" s="4" t="str">
        <f t="shared" si="94"/>
        <v>广东省</v>
      </c>
    </row>
    <row r="1869" spans="14:19">
      <c r="N1869" s="4">
        <v>1868</v>
      </c>
      <c r="O1869" s="4" t="s">
        <v>2736</v>
      </c>
      <c r="P1869" s="4">
        <v>218</v>
      </c>
      <c r="Q1869" s="4" t="str">
        <f t="shared" si="95"/>
        <v>南宁市</v>
      </c>
      <c r="R1869" s="4">
        <f t="shared" si="93"/>
        <v>20</v>
      </c>
      <c r="S1869" s="4" t="str">
        <f t="shared" si="94"/>
        <v>广西壮族自治区</v>
      </c>
    </row>
    <row r="1870" spans="14:19">
      <c r="N1870" s="4">
        <v>1869</v>
      </c>
      <c r="O1870" s="4" t="s">
        <v>2737</v>
      </c>
      <c r="P1870" s="4">
        <v>218</v>
      </c>
      <c r="Q1870" s="4" t="str">
        <f t="shared" si="95"/>
        <v>南宁市</v>
      </c>
      <c r="R1870" s="4">
        <f t="shared" si="93"/>
        <v>20</v>
      </c>
      <c r="S1870" s="4" t="str">
        <f t="shared" si="94"/>
        <v>广西壮族自治区</v>
      </c>
    </row>
    <row r="1871" spans="14:19">
      <c r="N1871" s="4">
        <v>1870</v>
      </c>
      <c r="O1871" s="4" t="s">
        <v>2738</v>
      </c>
      <c r="P1871" s="4">
        <v>218</v>
      </c>
      <c r="Q1871" s="4" t="str">
        <f t="shared" si="95"/>
        <v>南宁市</v>
      </c>
      <c r="R1871" s="4">
        <f t="shared" si="93"/>
        <v>20</v>
      </c>
      <c r="S1871" s="4" t="str">
        <f t="shared" si="94"/>
        <v>广西壮族自治区</v>
      </c>
    </row>
    <row r="1872" spans="14:19">
      <c r="N1872" s="4">
        <v>1871</v>
      </c>
      <c r="O1872" s="4" t="s">
        <v>2739</v>
      </c>
      <c r="P1872" s="4">
        <v>218</v>
      </c>
      <c r="Q1872" s="4" t="str">
        <f t="shared" si="95"/>
        <v>南宁市</v>
      </c>
      <c r="R1872" s="4">
        <f t="shared" si="93"/>
        <v>20</v>
      </c>
      <c r="S1872" s="4" t="str">
        <f t="shared" si="94"/>
        <v>广西壮族自治区</v>
      </c>
    </row>
    <row r="1873" spans="14:19">
      <c r="N1873" s="4">
        <v>1872</v>
      </c>
      <c r="O1873" s="4" t="s">
        <v>2740</v>
      </c>
      <c r="P1873" s="4">
        <v>218</v>
      </c>
      <c r="Q1873" s="4" t="str">
        <f t="shared" si="95"/>
        <v>南宁市</v>
      </c>
      <c r="R1873" s="4">
        <f t="shared" si="93"/>
        <v>20</v>
      </c>
      <c r="S1873" s="4" t="str">
        <f t="shared" si="94"/>
        <v>广西壮族自治区</v>
      </c>
    </row>
    <row r="1874" spans="14:19">
      <c r="N1874" s="4">
        <v>1873</v>
      </c>
      <c r="O1874" s="4" t="s">
        <v>2741</v>
      </c>
      <c r="P1874" s="4">
        <v>218</v>
      </c>
      <c r="Q1874" s="4" t="str">
        <f t="shared" si="95"/>
        <v>南宁市</v>
      </c>
      <c r="R1874" s="4">
        <f t="shared" si="93"/>
        <v>20</v>
      </c>
      <c r="S1874" s="4" t="str">
        <f t="shared" si="94"/>
        <v>广西壮族自治区</v>
      </c>
    </row>
    <row r="1875" spans="14:19">
      <c r="N1875" s="4">
        <v>1874</v>
      </c>
      <c r="O1875" s="4" t="s">
        <v>2742</v>
      </c>
      <c r="P1875" s="4">
        <v>218</v>
      </c>
      <c r="Q1875" s="4" t="str">
        <f t="shared" si="95"/>
        <v>南宁市</v>
      </c>
      <c r="R1875" s="4">
        <f t="shared" si="93"/>
        <v>20</v>
      </c>
      <c r="S1875" s="4" t="str">
        <f t="shared" si="94"/>
        <v>广西壮族自治区</v>
      </c>
    </row>
    <row r="1876" spans="14:19">
      <c r="N1876" s="4">
        <v>1875</v>
      </c>
      <c r="O1876" s="4" t="s">
        <v>2743</v>
      </c>
      <c r="P1876" s="4">
        <v>218</v>
      </c>
      <c r="Q1876" s="4" t="str">
        <f t="shared" si="95"/>
        <v>南宁市</v>
      </c>
      <c r="R1876" s="4">
        <f t="shared" si="93"/>
        <v>20</v>
      </c>
      <c r="S1876" s="4" t="str">
        <f t="shared" si="94"/>
        <v>广西壮族自治区</v>
      </c>
    </row>
    <row r="1877" spans="14:19">
      <c r="N1877" s="4">
        <v>1876</v>
      </c>
      <c r="O1877" s="4" t="s">
        <v>2744</v>
      </c>
      <c r="P1877" s="4">
        <v>218</v>
      </c>
      <c r="Q1877" s="4" t="str">
        <f t="shared" si="95"/>
        <v>南宁市</v>
      </c>
      <c r="R1877" s="4">
        <f t="shared" si="93"/>
        <v>20</v>
      </c>
      <c r="S1877" s="4" t="str">
        <f t="shared" si="94"/>
        <v>广西壮族自治区</v>
      </c>
    </row>
    <row r="1878" spans="14:19">
      <c r="N1878" s="4">
        <v>1877</v>
      </c>
      <c r="O1878" s="4" t="s">
        <v>2745</v>
      </c>
      <c r="P1878" s="4">
        <v>218</v>
      </c>
      <c r="Q1878" s="4" t="str">
        <f t="shared" si="95"/>
        <v>南宁市</v>
      </c>
      <c r="R1878" s="4">
        <f t="shared" si="93"/>
        <v>20</v>
      </c>
      <c r="S1878" s="4" t="str">
        <f t="shared" si="94"/>
        <v>广西壮族自治区</v>
      </c>
    </row>
    <row r="1879" spans="14:19">
      <c r="N1879" s="4">
        <v>1878</v>
      </c>
      <c r="O1879" s="4" t="s">
        <v>2746</v>
      </c>
      <c r="P1879" s="4">
        <v>218</v>
      </c>
      <c r="Q1879" s="4" t="str">
        <f t="shared" si="95"/>
        <v>南宁市</v>
      </c>
      <c r="R1879" s="4">
        <f t="shared" si="93"/>
        <v>20</v>
      </c>
      <c r="S1879" s="4" t="str">
        <f t="shared" si="94"/>
        <v>广西壮族自治区</v>
      </c>
    </row>
    <row r="1880" spans="14:19">
      <c r="N1880" s="4">
        <v>1879</v>
      </c>
      <c r="O1880" s="4" t="s">
        <v>2747</v>
      </c>
      <c r="P1880" s="4">
        <v>218</v>
      </c>
      <c r="Q1880" s="4" t="str">
        <f t="shared" si="95"/>
        <v>南宁市</v>
      </c>
      <c r="R1880" s="4">
        <f t="shared" si="93"/>
        <v>20</v>
      </c>
      <c r="S1880" s="4" t="str">
        <f t="shared" si="94"/>
        <v>广西壮族自治区</v>
      </c>
    </row>
    <row r="1881" spans="14:19">
      <c r="N1881" s="4">
        <v>1880</v>
      </c>
      <c r="O1881" s="4" t="s">
        <v>2748</v>
      </c>
      <c r="P1881" s="4">
        <v>219</v>
      </c>
      <c r="Q1881" s="4" t="str">
        <f t="shared" si="95"/>
        <v>柳州市</v>
      </c>
      <c r="R1881" s="4">
        <f t="shared" si="93"/>
        <v>20</v>
      </c>
      <c r="S1881" s="4" t="str">
        <f t="shared" si="94"/>
        <v>广西壮族自治区</v>
      </c>
    </row>
    <row r="1882" spans="14:19">
      <c r="N1882" s="4">
        <v>1881</v>
      </c>
      <c r="O1882" s="4" t="s">
        <v>2749</v>
      </c>
      <c r="P1882" s="4">
        <v>219</v>
      </c>
      <c r="Q1882" s="4" t="str">
        <f t="shared" si="95"/>
        <v>柳州市</v>
      </c>
      <c r="R1882" s="4">
        <f t="shared" si="93"/>
        <v>20</v>
      </c>
      <c r="S1882" s="4" t="str">
        <f t="shared" si="94"/>
        <v>广西壮族自治区</v>
      </c>
    </row>
    <row r="1883" spans="14:19">
      <c r="N1883" s="4">
        <v>1882</v>
      </c>
      <c r="O1883" s="4" t="s">
        <v>2750</v>
      </c>
      <c r="P1883" s="4">
        <v>219</v>
      </c>
      <c r="Q1883" s="4" t="str">
        <f t="shared" si="95"/>
        <v>柳州市</v>
      </c>
      <c r="R1883" s="4">
        <f t="shared" si="93"/>
        <v>20</v>
      </c>
      <c r="S1883" s="4" t="str">
        <f t="shared" si="94"/>
        <v>广西壮族自治区</v>
      </c>
    </row>
    <row r="1884" spans="14:19">
      <c r="N1884" s="4">
        <v>1883</v>
      </c>
      <c r="O1884" s="4" t="s">
        <v>2751</v>
      </c>
      <c r="P1884" s="4">
        <v>219</v>
      </c>
      <c r="Q1884" s="4" t="str">
        <f t="shared" si="95"/>
        <v>柳州市</v>
      </c>
      <c r="R1884" s="4">
        <f t="shared" si="93"/>
        <v>20</v>
      </c>
      <c r="S1884" s="4" t="str">
        <f t="shared" si="94"/>
        <v>广西壮族自治区</v>
      </c>
    </row>
    <row r="1885" spans="14:19">
      <c r="N1885" s="4">
        <v>1884</v>
      </c>
      <c r="O1885" s="4" t="s">
        <v>2752</v>
      </c>
      <c r="P1885" s="4">
        <v>219</v>
      </c>
      <c r="Q1885" s="4" t="str">
        <f t="shared" si="95"/>
        <v>柳州市</v>
      </c>
      <c r="R1885" s="4">
        <f t="shared" si="93"/>
        <v>20</v>
      </c>
      <c r="S1885" s="4" t="str">
        <f t="shared" si="94"/>
        <v>广西壮族自治区</v>
      </c>
    </row>
    <row r="1886" spans="14:19">
      <c r="N1886" s="4">
        <v>1885</v>
      </c>
      <c r="O1886" s="4" t="s">
        <v>2753</v>
      </c>
      <c r="P1886" s="4">
        <v>219</v>
      </c>
      <c r="Q1886" s="4" t="str">
        <f t="shared" si="95"/>
        <v>柳州市</v>
      </c>
      <c r="R1886" s="4">
        <f t="shared" si="93"/>
        <v>20</v>
      </c>
      <c r="S1886" s="4" t="str">
        <f t="shared" si="94"/>
        <v>广西壮族自治区</v>
      </c>
    </row>
    <row r="1887" spans="14:19">
      <c r="N1887" s="4">
        <v>1886</v>
      </c>
      <c r="O1887" s="4" t="s">
        <v>2754</v>
      </c>
      <c r="P1887" s="4">
        <v>219</v>
      </c>
      <c r="Q1887" s="4" t="str">
        <f t="shared" si="95"/>
        <v>柳州市</v>
      </c>
      <c r="R1887" s="4">
        <f t="shared" si="93"/>
        <v>20</v>
      </c>
      <c r="S1887" s="4" t="str">
        <f t="shared" si="94"/>
        <v>广西壮族自治区</v>
      </c>
    </row>
    <row r="1888" spans="14:19">
      <c r="N1888" s="4">
        <v>1887</v>
      </c>
      <c r="O1888" s="4" t="s">
        <v>2755</v>
      </c>
      <c r="P1888" s="4">
        <v>219</v>
      </c>
      <c r="Q1888" s="4" t="str">
        <f t="shared" si="95"/>
        <v>柳州市</v>
      </c>
      <c r="R1888" s="4">
        <f t="shared" si="93"/>
        <v>20</v>
      </c>
      <c r="S1888" s="4" t="str">
        <f t="shared" si="94"/>
        <v>广西壮族自治区</v>
      </c>
    </row>
    <row r="1889" spans="14:19">
      <c r="N1889" s="4">
        <v>1888</v>
      </c>
      <c r="O1889" s="4" t="s">
        <v>2756</v>
      </c>
      <c r="P1889" s="4">
        <v>219</v>
      </c>
      <c r="Q1889" s="4" t="str">
        <f t="shared" si="95"/>
        <v>柳州市</v>
      </c>
      <c r="R1889" s="4">
        <f t="shared" si="93"/>
        <v>20</v>
      </c>
      <c r="S1889" s="4" t="str">
        <f t="shared" si="94"/>
        <v>广西壮族自治区</v>
      </c>
    </row>
    <row r="1890" spans="14:19">
      <c r="N1890" s="4">
        <v>1889</v>
      </c>
      <c r="O1890" s="4" t="s">
        <v>2757</v>
      </c>
      <c r="P1890" s="4">
        <v>219</v>
      </c>
      <c r="Q1890" s="4" t="str">
        <f t="shared" si="95"/>
        <v>柳州市</v>
      </c>
      <c r="R1890" s="4">
        <f t="shared" si="93"/>
        <v>20</v>
      </c>
      <c r="S1890" s="4" t="str">
        <f t="shared" si="94"/>
        <v>广西壮族自治区</v>
      </c>
    </row>
    <row r="1891" spans="14:19">
      <c r="N1891" s="4">
        <v>1890</v>
      </c>
      <c r="O1891" s="4" t="s">
        <v>2758</v>
      </c>
      <c r="P1891" s="4">
        <v>220</v>
      </c>
      <c r="Q1891" s="4" t="str">
        <f t="shared" si="95"/>
        <v>桂林市</v>
      </c>
      <c r="R1891" s="4">
        <f t="shared" si="93"/>
        <v>20</v>
      </c>
      <c r="S1891" s="4" t="str">
        <f t="shared" si="94"/>
        <v>广西壮族自治区</v>
      </c>
    </row>
    <row r="1892" spans="14:19">
      <c r="N1892" s="4">
        <v>1891</v>
      </c>
      <c r="O1892" s="4" t="s">
        <v>2759</v>
      </c>
      <c r="P1892" s="4">
        <v>220</v>
      </c>
      <c r="Q1892" s="4" t="str">
        <f t="shared" si="95"/>
        <v>桂林市</v>
      </c>
      <c r="R1892" s="4">
        <f t="shared" si="93"/>
        <v>20</v>
      </c>
      <c r="S1892" s="4" t="str">
        <f t="shared" si="94"/>
        <v>广西壮族自治区</v>
      </c>
    </row>
    <row r="1893" spans="14:19">
      <c r="N1893" s="4">
        <v>1892</v>
      </c>
      <c r="O1893" s="4" t="s">
        <v>2760</v>
      </c>
      <c r="P1893" s="4">
        <v>220</v>
      </c>
      <c r="Q1893" s="4" t="str">
        <f t="shared" si="95"/>
        <v>桂林市</v>
      </c>
      <c r="R1893" s="4">
        <f t="shared" si="93"/>
        <v>20</v>
      </c>
      <c r="S1893" s="4" t="str">
        <f t="shared" si="94"/>
        <v>广西壮族自治区</v>
      </c>
    </row>
    <row r="1894" spans="14:19">
      <c r="N1894" s="4">
        <v>1893</v>
      </c>
      <c r="O1894" s="4" t="s">
        <v>2761</v>
      </c>
      <c r="P1894" s="4">
        <v>220</v>
      </c>
      <c r="Q1894" s="4" t="str">
        <f t="shared" si="95"/>
        <v>桂林市</v>
      </c>
      <c r="R1894" s="4">
        <f t="shared" si="93"/>
        <v>20</v>
      </c>
      <c r="S1894" s="4" t="str">
        <f t="shared" si="94"/>
        <v>广西壮族自治区</v>
      </c>
    </row>
    <row r="1895" spans="14:19">
      <c r="N1895" s="4">
        <v>1894</v>
      </c>
      <c r="O1895" s="4" t="s">
        <v>2762</v>
      </c>
      <c r="P1895" s="4">
        <v>220</v>
      </c>
      <c r="Q1895" s="4" t="str">
        <f t="shared" si="95"/>
        <v>桂林市</v>
      </c>
      <c r="R1895" s="4">
        <f t="shared" si="93"/>
        <v>20</v>
      </c>
      <c r="S1895" s="4" t="str">
        <f t="shared" si="94"/>
        <v>广西壮族自治区</v>
      </c>
    </row>
    <row r="1896" spans="14:19">
      <c r="N1896" s="4">
        <v>1895</v>
      </c>
      <c r="O1896" s="4" t="s">
        <v>2763</v>
      </c>
      <c r="P1896" s="4">
        <v>220</v>
      </c>
      <c r="Q1896" s="4" t="str">
        <f t="shared" si="95"/>
        <v>桂林市</v>
      </c>
      <c r="R1896" s="4">
        <f t="shared" si="93"/>
        <v>20</v>
      </c>
      <c r="S1896" s="4" t="str">
        <f t="shared" si="94"/>
        <v>广西壮族自治区</v>
      </c>
    </row>
    <row r="1897" spans="14:19">
      <c r="N1897" s="4">
        <v>1896</v>
      </c>
      <c r="O1897" s="4" t="s">
        <v>2764</v>
      </c>
      <c r="P1897" s="4">
        <v>220</v>
      </c>
      <c r="Q1897" s="4" t="str">
        <f t="shared" si="95"/>
        <v>桂林市</v>
      </c>
      <c r="R1897" s="4">
        <f t="shared" si="93"/>
        <v>20</v>
      </c>
      <c r="S1897" s="4" t="str">
        <f t="shared" si="94"/>
        <v>广西壮族自治区</v>
      </c>
    </row>
    <row r="1898" spans="14:19">
      <c r="N1898" s="4">
        <v>1897</v>
      </c>
      <c r="O1898" s="4" t="s">
        <v>2765</v>
      </c>
      <c r="P1898" s="4">
        <v>220</v>
      </c>
      <c r="Q1898" s="4" t="str">
        <f t="shared" si="95"/>
        <v>桂林市</v>
      </c>
      <c r="R1898" s="4">
        <f t="shared" si="93"/>
        <v>20</v>
      </c>
      <c r="S1898" s="4" t="str">
        <f t="shared" si="94"/>
        <v>广西壮族自治区</v>
      </c>
    </row>
    <row r="1899" spans="14:19">
      <c r="N1899" s="4">
        <v>1898</v>
      </c>
      <c r="O1899" s="4" t="s">
        <v>2766</v>
      </c>
      <c r="P1899" s="4">
        <v>220</v>
      </c>
      <c r="Q1899" s="4" t="str">
        <f t="shared" si="95"/>
        <v>桂林市</v>
      </c>
      <c r="R1899" s="4">
        <f t="shared" si="93"/>
        <v>20</v>
      </c>
      <c r="S1899" s="4" t="str">
        <f t="shared" si="94"/>
        <v>广西壮族自治区</v>
      </c>
    </row>
    <row r="1900" spans="14:19">
      <c r="N1900" s="4">
        <v>1899</v>
      </c>
      <c r="O1900" s="4" t="s">
        <v>2767</v>
      </c>
      <c r="P1900" s="4">
        <v>220</v>
      </c>
      <c r="Q1900" s="4" t="str">
        <f t="shared" si="95"/>
        <v>桂林市</v>
      </c>
      <c r="R1900" s="4">
        <f t="shared" si="93"/>
        <v>20</v>
      </c>
      <c r="S1900" s="4" t="str">
        <f t="shared" si="94"/>
        <v>广西壮族自治区</v>
      </c>
    </row>
    <row r="1901" spans="14:19">
      <c r="N1901" s="4">
        <v>1900</v>
      </c>
      <c r="O1901" s="4" t="s">
        <v>2768</v>
      </c>
      <c r="P1901" s="4">
        <v>220</v>
      </c>
      <c r="Q1901" s="4" t="str">
        <f t="shared" si="95"/>
        <v>桂林市</v>
      </c>
      <c r="R1901" s="4">
        <f t="shared" si="93"/>
        <v>20</v>
      </c>
      <c r="S1901" s="4" t="str">
        <f t="shared" si="94"/>
        <v>广西壮族自治区</v>
      </c>
    </row>
    <row r="1902" spans="14:19">
      <c r="N1902" s="4">
        <v>1901</v>
      </c>
      <c r="O1902" s="4" t="s">
        <v>2769</v>
      </c>
      <c r="P1902" s="4">
        <v>220</v>
      </c>
      <c r="Q1902" s="4" t="str">
        <f t="shared" si="95"/>
        <v>桂林市</v>
      </c>
      <c r="R1902" s="4">
        <f t="shared" si="93"/>
        <v>20</v>
      </c>
      <c r="S1902" s="4" t="str">
        <f t="shared" si="94"/>
        <v>广西壮族自治区</v>
      </c>
    </row>
    <row r="1903" spans="14:19">
      <c r="N1903" s="4">
        <v>1902</v>
      </c>
      <c r="O1903" s="4" t="s">
        <v>2770</v>
      </c>
      <c r="P1903" s="4">
        <v>220</v>
      </c>
      <c r="Q1903" s="4" t="str">
        <f t="shared" si="95"/>
        <v>桂林市</v>
      </c>
      <c r="R1903" s="4">
        <f t="shared" si="93"/>
        <v>20</v>
      </c>
      <c r="S1903" s="4" t="str">
        <f t="shared" si="94"/>
        <v>广西壮族自治区</v>
      </c>
    </row>
    <row r="1904" spans="14:19">
      <c r="N1904" s="4">
        <v>1903</v>
      </c>
      <c r="O1904" s="4" t="s">
        <v>2771</v>
      </c>
      <c r="P1904" s="4">
        <v>220</v>
      </c>
      <c r="Q1904" s="4" t="str">
        <f t="shared" si="95"/>
        <v>桂林市</v>
      </c>
      <c r="R1904" s="4">
        <f t="shared" si="93"/>
        <v>20</v>
      </c>
      <c r="S1904" s="4" t="str">
        <f t="shared" si="94"/>
        <v>广西壮族自治区</v>
      </c>
    </row>
    <row r="1905" spans="14:19">
      <c r="N1905" s="4">
        <v>1904</v>
      </c>
      <c r="O1905" s="4" t="s">
        <v>2772</v>
      </c>
      <c r="P1905" s="4">
        <v>220</v>
      </c>
      <c r="Q1905" s="4" t="str">
        <f t="shared" si="95"/>
        <v>桂林市</v>
      </c>
      <c r="R1905" s="4">
        <f t="shared" si="93"/>
        <v>20</v>
      </c>
      <c r="S1905" s="4" t="str">
        <f t="shared" si="94"/>
        <v>广西壮族自治区</v>
      </c>
    </row>
    <row r="1906" spans="14:19">
      <c r="N1906" s="4">
        <v>1905</v>
      </c>
      <c r="O1906" s="4" t="s">
        <v>2773</v>
      </c>
      <c r="P1906" s="4">
        <v>220</v>
      </c>
      <c r="Q1906" s="4" t="str">
        <f t="shared" si="95"/>
        <v>桂林市</v>
      </c>
      <c r="R1906" s="4">
        <f t="shared" si="93"/>
        <v>20</v>
      </c>
      <c r="S1906" s="4" t="str">
        <f t="shared" si="94"/>
        <v>广西壮族自治区</v>
      </c>
    </row>
    <row r="1907" spans="14:19">
      <c r="N1907" s="4">
        <v>1906</v>
      </c>
      <c r="O1907" s="4" t="s">
        <v>2774</v>
      </c>
      <c r="P1907" s="4">
        <v>220</v>
      </c>
      <c r="Q1907" s="4" t="str">
        <f t="shared" si="95"/>
        <v>桂林市</v>
      </c>
      <c r="R1907" s="4">
        <f t="shared" si="93"/>
        <v>20</v>
      </c>
      <c r="S1907" s="4" t="str">
        <f t="shared" si="94"/>
        <v>广西壮族自治区</v>
      </c>
    </row>
    <row r="1908" spans="14:19">
      <c r="N1908" s="4">
        <v>1907</v>
      </c>
      <c r="O1908" s="4" t="s">
        <v>2775</v>
      </c>
      <c r="P1908" s="4">
        <v>221</v>
      </c>
      <c r="Q1908" s="4" t="str">
        <f t="shared" si="95"/>
        <v>梧州市</v>
      </c>
      <c r="R1908" s="4">
        <f t="shared" si="93"/>
        <v>20</v>
      </c>
      <c r="S1908" s="4" t="str">
        <f t="shared" si="94"/>
        <v>广西壮族自治区</v>
      </c>
    </row>
    <row r="1909" spans="14:19">
      <c r="N1909" s="4">
        <v>1908</v>
      </c>
      <c r="O1909" s="4" t="s">
        <v>2776</v>
      </c>
      <c r="P1909" s="4">
        <v>221</v>
      </c>
      <c r="Q1909" s="4" t="str">
        <f t="shared" si="95"/>
        <v>梧州市</v>
      </c>
      <c r="R1909" s="4">
        <f t="shared" si="93"/>
        <v>20</v>
      </c>
      <c r="S1909" s="4" t="str">
        <f t="shared" si="94"/>
        <v>广西壮族自治区</v>
      </c>
    </row>
    <row r="1910" spans="14:19">
      <c r="N1910" s="4">
        <v>1909</v>
      </c>
      <c r="O1910" s="4" t="s">
        <v>2777</v>
      </c>
      <c r="P1910" s="4">
        <v>221</v>
      </c>
      <c r="Q1910" s="4" t="str">
        <f t="shared" si="95"/>
        <v>梧州市</v>
      </c>
      <c r="R1910" s="4">
        <f t="shared" si="93"/>
        <v>20</v>
      </c>
      <c r="S1910" s="4" t="str">
        <f t="shared" si="94"/>
        <v>广西壮族自治区</v>
      </c>
    </row>
    <row r="1911" spans="14:19">
      <c r="N1911" s="4">
        <v>1910</v>
      </c>
      <c r="O1911" s="4" t="s">
        <v>2778</v>
      </c>
      <c r="P1911" s="4">
        <v>221</v>
      </c>
      <c r="Q1911" s="4" t="str">
        <f t="shared" si="95"/>
        <v>梧州市</v>
      </c>
      <c r="R1911" s="4">
        <f t="shared" si="93"/>
        <v>20</v>
      </c>
      <c r="S1911" s="4" t="str">
        <f t="shared" si="94"/>
        <v>广西壮族自治区</v>
      </c>
    </row>
    <row r="1912" spans="14:19">
      <c r="N1912" s="4">
        <v>1911</v>
      </c>
      <c r="O1912" s="4" t="s">
        <v>2779</v>
      </c>
      <c r="P1912" s="4">
        <v>221</v>
      </c>
      <c r="Q1912" s="4" t="str">
        <f t="shared" si="95"/>
        <v>梧州市</v>
      </c>
      <c r="R1912" s="4">
        <f t="shared" si="93"/>
        <v>20</v>
      </c>
      <c r="S1912" s="4" t="str">
        <f t="shared" si="94"/>
        <v>广西壮族自治区</v>
      </c>
    </row>
    <row r="1913" spans="14:19">
      <c r="N1913" s="4">
        <v>1912</v>
      </c>
      <c r="O1913" s="4" t="s">
        <v>2780</v>
      </c>
      <c r="P1913" s="4">
        <v>221</v>
      </c>
      <c r="Q1913" s="4" t="str">
        <f t="shared" si="95"/>
        <v>梧州市</v>
      </c>
      <c r="R1913" s="4">
        <f t="shared" si="93"/>
        <v>20</v>
      </c>
      <c r="S1913" s="4" t="str">
        <f t="shared" si="94"/>
        <v>广西壮族自治区</v>
      </c>
    </row>
    <row r="1914" spans="14:19">
      <c r="N1914" s="4">
        <v>1913</v>
      </c>
      <c r="O1914" s="4" t="s">
        <v>2781</v>
      </c>
      <c r="P1914" s="4">
        <v>221</v>
      </c>
      <c r="Q1914" s="4" t="str">
        <f t="shared" si="95"/>
        <v>梧州市</v>
      </c>
      <c r="R1914" s="4">
        <f t="shared" si="93"/>
        <v>20</v>
      </c>
      <c r="S1914" s="4" t="str">
        <f t="shared" si="94"/>
        <v>广西壮族自治区</v>
      </c>
    </row>
    <row r="1915" spans="14:19">
      <c r="N1915" s="4">
        <v>1914</v>
      </c>
      <c r="O1915" s="4" t="s">
        <v>2782</v>
      </c>
      <c r="P1915" s="4">
        <v>222</v>
      </c>
      <c r="Q1915" s="4" t="str">
        <f t="shared" si="95"/>
        <v>北海市</v>
      </c>
      <c r="R1915" s="4">
        <f t="shared" si="93"/>
        <v>20</v>
      </c>
      <c r="S1915" s="4" t="str">
        <f t="shared" si="94"/>
        <v>广西壮族自治区</v>
      </c>
    </row>
    <row r="1916" spans="14:19">
      <c r="N1916" s="4">
        <v>1915</v>
      </c>
      <c r="O1916" s="4" t="s">
        <v>2783</v>
      </c>
      <c r="P1916" s="4">
        <v>222</v>
      </c>
      <c r="Q1916" s="4" t="str">
        <f t="shared" si="95"/>
        <v>北海市</v>
      </c>
      <c r="R1916" s="4">
        <f t="shared" si="93"/>
        <v>20</v>
      </c>
      <c r="S1916" s="4" t="str">
        <f t="shared" si="94"/>
        <v>广西壮族自治区</v>
      </c>
    </row>
    <row r="1917" spans="14:19">
      <c r="N1917" s="4">
        <v>1916</v>
      </c>
      <c r="O1917" s="4" t="s">
        <v>2784</v>
      </c>
      <c r="P1917" s="4">
        <v>222</v>
      </c>
      <c r="Q1917" s="4" t="str">
        <f t="shared" si="95"/>
        <v>北海市</v>
      </c>
      <c r="R1917" s="4">
        <f t="shared" si="93"/>
        <v>20</v>
      </c>
      <c r="S1917" s="4" t="str">
        <f t="shared" si="94"/>
        <v>广西壮族自治区</v>
      </c>
    </row>
    <row r="1918" spans="14:19">
      <c r="N1918" s="4">
        <v>1917</v>
      </c>
      <c r="O1918" s="4" t="s">
        <v>2785</v>
      </c>
      <c r="P1918" s="4">
        <v>222</v>
      </c>
      <c r="Q1918" s="4" t="str">
        <f t="shared" si="95"/>
        <v>北海市</v>
      </c>
      <c r="R1918" s="4">
        <f t="shared" si="93"/>
        <v>20</v>
      </c>
      <c r="S1918" s="4" t="str">
        <f t="shared" si="94"/>
        <v>广西壮族自治区</v>
      </c>
    </row>
    <row r="1919" spans="14:19">
      <c r="N1919" s="4">
        <v>1918</v>
      </c>
      <c r="O1919" s="4" t="s">
        <v>2786</v>
      </c>
      <c r="P1919" s="4">
        <v>223</v>
      </c>
      <c r="Q1919" s="4" t="str">
        <f t="shared" si="95"/>
        <v>防城港市</v>
      </c>
      <c r="R1919" s="4">
        <f t="shared" si="93"/>
        <v>20</v>
      </c>
      <c r="S1919" s="4" t="str">
        <f t="shared" si="94"/>
        <v>广西壮族自治区</v>
      </c>
    </row>
    <row r="1920" spans="14:19">
      <c r="N1920" s="4">
        <v>1919</v>
      </c>
      <c r="O1920" s="4" t="s">
        <v>2787</v>
      </c>
      <c r="P1920" s="4">
        <v>223</v>
      </c>
      <c r="Q1920" s="4" t="str">
        <f t="shared" si="95"/>
        <v>防城港市</v>
      </c>
      <c r="R1920" s="4">
        <f t="shared" si="93"/>
        <v>20</v>
      </c>
      <c r="S1920" s="4" t="str">
        <f t="shared" si="94"/>
        <v>广西壮族自治区</v>
      </c>
    </row>
    <row r="1921" spans="14:19">
      <c r="N1921" s="4">
        <v>1920</v>
      </c>
      <c r="O1921" s="4" t="s">
        <v>2788</v>
      </c>
      <c r="P1921" s="4">
        <v>223</v>
      </c>
      <c r="Q1921" s="4" t="str">
        <f t="shared" si="95"/>
        <v>防城港市</v>
      </c>
      <c r="R1921" s="4">
        <f t="shared" si="93"/>
        <v>20</v>
      </c>
      <c r="S1921" s="4" t="str">
        <f t="shared" si="94"/>
        <v>广西壮族自治区</v>
      </c>
    </row>
    <row r="1922" spans="14:19">
      <c r="N1922" s="4">
        <v>1921</v>
      </c>
      <c r="O1922" s="4" t="s">
        <v>2789</v>
      </c>
      <c r="P1922" s="4">
        <v>223</v>
      </c>
      <c r="Q1922" s="4" t="str">
        <f t="shared" si="95"/>
        <v>防城港市</v>
      </c>
      <c r="R1922" s="4">
        <f t="shared" ref="R1922:R1985" si="96">VLOOKUP(P1922,$I$2:$M$346,3,FALSE)</f>
        <v>20</v>
      </c>
      <c r="S1922" s="4" t="str">
        <f t="shared" ref="S1922:S1985" si="97">VLOOKUP(P1922,$I$2:$M$346,4,FALSE)</f>
        <v>广西壮族自治区</v>
      </c>
    </row>
    <row r="1923" spans="14:19">
      <c r="N1923" s="4">
        <v>1922</v>
      </c>
      <c r="O1923" s="4" t="s">
        <v>2790</v>
      </c>
      <c r="P1923" s="4">
        <v>224</v>
      </c>
      <c r="Q1923" s="4" t="str">
        <f t="shared" ref="Q1923:Q1986" si="98">VLOOKUP(P1923,$I$2:$J$346,2,FALSE)</f>
        <v>钦州市</v>
      </c>
      <c r="R1923" s="4">
        <f t="shared" si="96"/>
        <v>20</v>
      </c>
      <c r="S1923" s="4" t="str">
        <f t="shared" si="97"/>
        <v>广西壮族自治区</v>
      </c>
    </row>
    <row r="1924" spans="14:19">
      <c r="N1924" s="4">
        <v>1923</v>
      </c>
      <c r="O1924" s="4" t="s">
        <v>2791</v>
      </c>
      <c r="P1924" s="4">
        <v>224</v>
      </c>
      <c r="Q1924" s="4" t="str">
        <f t="shared" si="98"/>
        <v>钦州市</v>
      </c>
      <c r="R1924" s="4">
        <f t="shared" si="96"/>
        <v>20</v>
      </c>
      <c r="S1924" s="4" t="str">
        <f t="shared" si="97"/>
        <v>广西壮族自治区</v>
      </c>
    </row>
    <row r="1925" spans="14:19">
      <c r="N1925" s="4">
        <v>1924</v>
      </c>
      <c r="O1925" s="4" t="s">
        <v>2792</v>
      </c>
      <c r="P1925" s="4">
        <v>224</v>
      </c>
      <c r="Q1925" s="4" t="str">
        <f t="shared" si="98"/>
        <v>钦州市</v>
      </c>
      <c r="R1925" s="4">
        <f t="shared" si="96"/>
        <v>20</v>
      </c>
      <c r="S1925" s="4" t="str">
        <f t="shared" si="97"/>
        <v>广西壮族自治区</v>
      </c>
    </row>
    <row r="1926" spans="14:19">
      <c r="N1926" s="4">
        <v>1925</v>
      </c>
      <c r="O1926" s="4" t="s">
        <v>2793</v>
      </c>
      <c r="P1926" s="4">
        <v>224</v>
      </c>
      <c r="Q1926" s="4" t="str">
        <f t="shared" si="98"/>
        <v>钦州市</v>
      </c>
      <c r="R1926" s="4">
        <f t="shared" si="96"/>
        <v>20</v>
      </c>
      <c r="S1926" s="4" t="str">
        <f t="shared" si="97"/>
        <v>广西壮族自治区</v>
      </c>
    </row>
    <row r="1927" spans="14:19">
      <c r="N1927" s="4">
        <v>1926</v>
      </c>
      <c r="O1927" s="4" t="s">
        <v>2794</v>
      </c>
      <c r="P1927" s="4">
        <v>225</v>
      </c>
      <c r="Q1927" s="4" t="str">
        <f t="shared" si="98"/>
        <v>贵港市</v>
      </c>
      <c r="R1927" s="4">
        <f t="shared" si="96"/>
        <v>20</v>
      </c>
      <c r="S1927" s="4" t="str">
        <f t="shared" si="97"/>
        <v>广西壮族自治区</v>
      </c>
    </row>
    <row r="1928" spans="14:19">
      <c r="N1928" s="4">
        <v>1927</v>
      </c>
      <c r="O1928" s="4" t="s">
        <v>2795</v>
      </c>
      <c r="P1928" s="4">
        <v>225</v>
      </c>
      <c r="Q1928" s="4" t="str">
        <f t="shared" si="98"/>
        <v>贵港市</v>
      </c>
      <c r="R1928" s="4">
        <f t="shared" si="96"/>
        <v>20</v>
      </c>
      <c r="S1928" s="4" t="str">
        <f t="shared" si="97"/>
        <v>广西壮族自治区</v>
      </c>
    </row>
    <row r="1929" spans="14:19">
      <c r="N1929" s="4">
        <v>1928</v>
      </c>
      <c r="O1929" s="4" t="s">
        <v>2796</v>
      </c>
      <c r="P1929" s="4">
        <v>225</v>
      </c>
      <c r="Q1929" s="4" t="str">
        <f t="shared" si="98"/>
        <v>贵港市</v>
      </c>
      <c r="R1929" s="4">
        <f t="shared" si="96"/>
        <v>20</v>
      </c>
      <c r="S1929" s="4" t="str">
        <f t="shared" si="97"/>
        <v>广西壮族自治区</v>
      </c>
    </row>
    <row r="1930" spans="14:19">
      <c r="N1930" s="4">
        <v>1929</v>
      </c>
      <c r="O1930" s="4" t="s">
        <v>2797</v>
      </c>
      <c r="P1930" s="4">
        <v>225</v>
      </c>
      <c r="Q1930" s="4" t="str">
        <f t="shared" si="98"/>
        <v>贵港市</v>
      </c>
      <c r="R1930" s="4">
        <f t="shared" si="96"/>
        <v>20</v>
      </c>
      <c r="S1930" s="4" t="str">
        <f t="shared" si="97"/>
        <v>广西壮族自治区</v>
      </c>
    </row>
    <row r="1931" spans="14:19">
      <c r="N1931" s="4">
        <v>1930</v>
      </c>
      <c r="O1931" s="4" t="s">
        <v>2798</v>
      </c>
      <c r="P1931" s="4">
        <v>225</v>
      </c>
      <c r="Q1931" s="4" t="str">
        <f t="shared" si="98"/>
        <v>贵港市</v>
      </c>
      <c r="R1931" s="4">
        <f t="shared" si="96"/>
        <v>20</v>
      </c>
      <c r="S1931" s="4" t="str">
        <f t="shared" si="97"/>
        <v>广西壮族自治区</v>
      </c>
    </row>
    <row r="1932" spans="14:19">
      <c r="N1932" s="4">
        <v>1931</v>
      </c>
      <c r="O1932" s="4" t="s">
        <v>2799</v>
      </c>
      <c r="P1932" s="4">
        <v>226</v>
      </c>
      <c r="Q1932" s="4" t="str">
        <f t="shared" si="98"/>
        <v>玉林市</v>
      </c>
      <c r="R1932" s="4">
        <f t="shared" si="96"/>
        <v>20</v>
      </c>
      <c r="S1932" s="4" t="str">
        <f t="shared" si="97"/>
        <v>广西壮族自治区</v>
      </c>
    </row>
    <row r="1933" spans="14:19">
      <c r="N1933" s="4">
        <v>1932</v>
      </c>
      <c r="O1933" s="4" t="s">
        <v>2800</v>
      </c>
      <c r="P1933" s="4">
        <v>226</v>
      </c>
      <c r="Q1933" s="4" t="str">
        <f t="shared" si="98"/>
        <v>玉林市</v>
      </c>
      <c r="R1933" s="4">
        <f t="shared" si="96"/>
        <v>20</v>
      </c>
      <c r="S1933" s="4" t="str">
        <f t="shared" si="97"/>
        <v>广西壮族自治区</v>
      </c>
    </row>
    <row r="1934" spans="14:19">
      <c r="N1934" s="4">
        <v>1933</v>
      </c>
      <c r="O1934" s="4" t="s">
        <v>2801</v>
      </c>
      <c r="P1934" s="4">
        <v>226</v>
      </c>
      <c r="Q1934" s="4" t="str">
        <f t="shared" si="98"/>
        <v>玉林市</v>
      </c>
      <c r="R1934" s="4">
        <f t="shared" si="96"/>
        <v>20</v>
      </c>
      <c r="S1934" s="4" t="str">
        <f t="shared" si="97"/>
        <v>广西壮族自治区</v>
      </c>
    </row>
    <row r="1935" spans="14:19">
      <c r="N1935" s="4">
        <v>1934</v>
      </c>
      <c r="O1935" s="4" t="s">
        <v>2802</v>
      </c>
      <c r="P1935" s="4">
        <v>226</v>
      </c>
      <c r="Q1935" s="4" t="str">
        <f t="shared" si="98"/>
        <v>玉林市</v>
      </c>
      <c r="R1935" s="4">
        <f t="shared" si="96"/>
        <v>20</v>
      </c>
      <c r="S1935" s="4" t="str">
        <f t="shared" si="97"/>
        <v>广西壮族自治区</v>
      </c>
    </row>
    <row r="1936" spans="14:19">
      <c r="N1936" s="4">
        <v>1935</v>
      </c>
      <c r="O1936" s="4" t="s">
        <v>2803</v>
      </c>
      <c r="P1936" s="4">
        <v>226</v>
      </c>
      <c r="Q1936" s="4" t="str">
        <f t="shared" si="98"/>
        <v>玉林市</v>
      </c>
      <c r="R1936" s="4">
        <f t="shared" si="96"/>
        <v>20</v>
      </c>
      <c r="S1936" s="4" t="str">
        <f t="shared" si="97"/>
        <v>广西壮族自治区</v>
      </c>
    </row>
    <row r="1937" spans="14:19">
      <c r="N1937" s="4">
        <v>1936</v>
      </c>
      <c r="O1937" s="4" t="s">
        <v>2804</v>
      </c>
      <c r="P1937" s="4">
        <v>226</v>
      </c>
      <c r="Q1937" s="4" t="str">
        <f t="shared" si="98"/>
        <v>玉林市</v>
      </c>
      <c r="R1937" s="4">
        <f t="shared" si="96"/>
        <v>20</v>
      </c>
      <c r="S1937" s="4" t="str">
        <f t="shared" si="97"/>
        <v>广西壮族自治区</v>
      </c>
    </row>
    <row r="1938" spans="14:19">
      <c r="N1938" s="4">
        <v>1937</v>
      </c>
      <c r="O1938" s="4" t="s">
        <v>2805</v>
      </c>
      <c r="P1938" s="4">
        <v>227</v>
      </c>
      <c r="Q1938" s="4" t="str">
        <f t="shared" si="98"/>
        <v>百色市</v>
      </c>
      <c r="R1938" s="4">
        <f t="shared" si="96"/>
        <v>20</v>
      </c>
      <c r="S1938" s="4" t="str">
        <f t="shared" si="97"/>
        <v>广西壮族自治区</v>
      </c>
    </row>
    <row r="1939" spans="14:19">
      <c r="N1939" s="4">
        <v>1938</v>
      </c>
      <c r="O1939" s="4" t="s">
        <v>2806</v>
      </c>
      <c r="P1939" s="4">
        <v>227</v>
      </c>
      <c r="Q1939" s="4" t="str">
        <f t="shared" si="98"/>
        <v>百色市</v>
      </c>
      <c r="R1939" s="4">
        <f t="shared" si="96"/>
        <v>20</v>
      </c>
      <c r="S1939" s="4" t="str">
        <f t="shared" si="97"/>
        <v>广西壮族自治区</v>
      </c>
    </row>
    <row r="1940" spans="14:19">
      <c r="N1940" s="4">
        <v>1939</v>
      </c>
      <c r="O1940" s="4" t="s">
        <v>2807</v>
      </c>
      <c r="P1940" s="4">
        <v>227</v>
      </c>
      <c r="Q1940" s="4" t="str">
        <f t="shared" si="98"/>
        <v>百色市</v>
      </c>
      <c r="R1940" s="4">
        <f t="shared" si="96"/>
        <v>20</v>
      </c>
      <c r="S1940" s="4" t="str">
        <f t="shared" si="97"/>
        <v>广西壮族自治区</v>
      </c>
    </row>
    <row r="1941" spans="14:19">
      <c r="N1941" s="4">
        <v>1940</v>
      </c>
      <c r="O1941" s="4" t="s">
        <v>2808</v>
      </c>
      <c r="P1941" s="4">
        <v>227</v>
      </c>
      <c r="Q1941" s="4" t="str">
        <f t="shared" si="98"/>
        <v>百色市</v>
      </c>
      <c r="R1941" s="4">
        <f t="shared" si="96"/>
        <v>20</v>
      </c>
      <c r="S1941" s="4" t="str">
        <f t="shared" si="97"/>
        <v>广西壮族自治区</v>
      </c>
    </row>
    <row r="1942" spans="14:19">
      <c r="N1942" s="4">
        <v>1941</v>
      </c>
      <c r="O1942" s="4" t="s">
        <v>2809</v>
      </c>
      <c r="P1942" s="4">
        <v>227</v>
      </c>
      <c r="Q1942" s="4" t="str">
        <f t="shared" si="98"/>
        <v>百色市</v>
      </c>
      <c r="R1942" s="4">
        <f t="shared" si="96"/>
        <v>20</v>
      </c>
      <c r="S1942" s="4" t="str">
        <f t="shared" si="97"/>
        <v>广西壮族自治区</v>
      </c>
    </row>
    <row r="1943" spans="14:19">
      <c r="N1943" s="4">
        <v>1942</v>
      </c>
      <c r="O1943" s="4" t="s">
        <v>2810</v>
      </c>
      <c r="P1943" s="4">
        <v>227</v>
      </c>
      <c r="Q1943" s="4" t="str">
        <f t="shared" si="98"/>
        <v>百色市</v>
      </c>
      <c r="R1943" s="4">
        <f t="shared" si="96"/>
        <v>20</v>
      </c>
      <c r="S1943" s="4" t="str">
        <f t="shared" si="97"/>
        <v>广西壮族自治区</v>
      </c>
    </row>
    <row r="1944" spans="14:19">
      <c r="N1944" s="4">
        <v>1943</v>
      </c>
      <c r="O1944" s="4" t="s">
        <v>2811</v>
      </c>
      <c r="P1944" s="4">
        <v>227</v>
      </c>
      <c r="Q1944" s="4" t="str">
        <f t="shared" si="98"/>
        <v>百色市</v>
      </c>
      <c r="R1944" s="4">
        <f t="shared" si="96"/>
        <v>20</v>
      </c>
      <c r="S1944" s="4" t="str">
        <f t="shared" si="97"/>
        <v>广西壮族自治区</v>
      </c>
    </row>
    <row r="1945" spans="14:19">
      <c r="N1945" s="4">
        <v>1944</v>
      </c>
      <c r="O1945" s="4" t="s">
        <v>2812</v>
      </c>
      <c r="P1945" s="4">
        <v>227</v>
      </c>
      <c r="Q1945" s="4" t="str">
        <f t="shared" si="98"/>
        <v>百色市</v>
      </c>
      <c r="R1945" s="4">
        <f t="shared" si="96"/>
        <v>20</v>
      </c>
      <c r="S1945" s="4" t="str">
        <f t="shared" si="97"/>
        <v>广西壮族自治区</v>
      </c>
    </row>
    <row r="1946" spans="14:19">
      <c r="N1946" s="4">
        <v>1945</v>
      </c>
      <c r="O1946" s="4" t="s">
        <v>2813</v>
      </c>
      <c r="P1946" s="4">
        <v>227</v>
      </c>
      <c r="Q1946" s="4" t="str">
        <f t="shared" si="98"/>
        <v>百色市</v>
      </c>
      <c r="R1946" s="4">
        <f t="shared" si="96"/>
        <v>20</v>
      </c>
      <c r="S1946" s="4" t="str">
        <f t="shared" si="97"/>
        <v>广西壮族自治区</v>
      </c>
    </row>
    <row r="1947" spans="14:19">
      <c r="N1947" s="4">
        <v>1946</v>
      </c>
      <c r="O1947" s="4" t="s">
        <v>2814</v>
      </c>
      <c r="P1947" s="4">
        <v>227</v>
      </c>
      <c r="Q1947" s="4" t="str">
        <f t="shared" si="98"/>
        <v>百色市</v>
      </c>
      <c r="R1947" s="4">
        <f t="shared" si="96"/>
        <v>20</v>
      </c>
      <c r="S1947" s="4" t="str">
        <f t="shared" si="97"/>
        <v>广西壮族自治区</v>
      </c>
    </row>
    <row r="1948" spans="14:19">
      <c r="N1948" s="4">
        <v>1947</v>
      </c>
      <c r="O1948" s="4" t="s">
        <v>2815</v>
      </c>
      <c r="P1948" s="4">
        <v>227</v>
      </c>
      <c r="Q1948" s="4" t="str">
        <f t="shared" si="98"/>
        <v>百色市</v>
      </c>
      <c r="R1948" s="4">
        <f t="shared" si="96"/>
        <v>20</v>
      </c>
      <c r="S1948" s="4" t="str">
        <f t="shared" si="97"/>
        <v>广西壮族自治区</v>
      </c>
    </row>
    <row r="1949" spans="14:19">
      <c r="N1949" s="4">
        <v>1948</v>
      </c>
      <c r="O1949" s="4" t="s">
        <v>2816</v>
      </c>
      <c r="P1949" s="4">
        <v>227</v>
      </c>
      <c r="Q1949" s="4" t="str">
        <f t="shared" si="98"/>
        <v>百色市</v>
      </c>
      <c r="R1949" s="4">
        <f t="shared" si="96"/>
        <v>20</v>
      </c>
      <c r="S1949" s="4" t="str">
        <f t="shared" si="97"/>
        <v>广西壮族自治区</v>
      </c>
    </row>
    <row r="1950" spans="14:19">
      <c r="N1950" s="4">
        <v>1949</v>
      </c>
      <c r="O1950" s="4" t="s">
        <v>2817</v>
      </c>
      <c r="P1950" s="4">
        <v>228</v>
      </c>
      <c r="Q1950" s="4" t="str">
        <f t="shared" si="98"/>
        <v>贺州市</v>
      </c>
      <c r="R1950" s="4">
        <f t="shared" si="96"/>
        <v>20</v>
      </c>
      <c r="S1950" s="4" t="str">
        <f t="shared" si="97"/>
        <v>广西壮族自治区</v>
      </c>
    </row>
    <row r="1951" spans="14:19">
      <c r="N1951" s="4">
        <v>1950</v>
      </c>
      <c r="O1951" s="4" t="s">
        <v>2818</v>
      </c>
      <c r="P1951" s="4">
        <v>228</v>
      </c>
      <c r="Q1951" s="4" t="str">
        <f t="shared" si="98"/>
        <v>贺州市</v>
      </c>
      <c r="R1951" s="4">
        <f t="shared" si="96"/>
        <v>20</v>
      </c>
      <c r="S1951" s="4" t="str">
        <f t="shared" si="97"/>
        <v>广西壮族自治区</v>
      </c>
    </row>
    <row r="1952" spans="14:19">
      <c r="N1952" s="4">
        <v>1951</v>
      </c>
      <c r="O1952" s="4" t="s">
        <v>2819</v>
      </c>
      <c r="P1952" s="4">
        <v>228</v>
      </c>
      <c r="Q1952" s="4" t="str">
        <f t="shared" si="98"/>
        <v>贺州市</v>
      </c>
      <c r="R1952" s="4">
        <f t="shared" si="96"/>
        <v>20</v>
      </c>
      <c r="S1952" s="4" t="str">
        <f t="shared" si="97"/>
        <v>广西壮族自治区</v>
      </c>
    </row>
    <row r="1953" spans="14:19">
      <c r="N1953" s="4">
        <v>1952</v>
      </c>
      <c r="O1953" s="4" t="s">
        <v>2820</v>
      </c>
      <c r="P1953" s="4">
        <v>228</v>
      </c>
      <c r="Q1953" s="4" t="str">
        <f t="shared" si="98"/>
        <v>贺州市</v>
      </c>
      <c r="R1953" s="4">
        <f t="shared" si="96"/>
        <v>20</v>
      </c>
      <c r="S1953" s="4" t="str">
        <f t="shared" si="97"/>
        <v>广西壮族自治区</v>
      </c>
    </row>
    <row r="1954" spans="14:19">
      <c r="N1954" s="4">
        <v>1953</v>
      </c>
      <c r="O1954" s="4" t="s">
        <v>2821</v>
      </c>
      <c r="P1954" s="4">
        <v>229</v>
      </c>
      <c r="Q1954" s="4" t="str">
        <f t="shared" si="98"/>
        <v>河池市</v>
      </c>
      <c r="R1954" s="4">
        <f t="shared" si="96"/>
        <v>20</v>
      </c>
      <c r="S1954" s="4" t="str">
        <f t="shared" si="97"/>
        <v>广西壮族自治区</v>
      </c>
    </row>
    <row r="1955" spans="14:19">
      <c r="N1955" s="4">
        <v>1954</v>
      </c>
      <c r="O1955" s="4" t="s">
        <v>2822</v>
      </c>
      <c r="P1955" s="4">
        <v>229</v>
      </c>
      <c r="Q1955" s="4" t="str">
        <f t="shared" si="98"/>
        <v>河池市</v>
      </c>
      <c r="R1955" s="4">
        <f t="shared" si="96"/>
        <v>20</v>
      </c>
      <c r="S1955" s="4" t="str">
        <f t="shared" si="97"/>
        <v>广西壮族自治区</v>
      </c>
    </row>
    <row r="1956" spans="14:19">
      <c r="N1956" s="4">
        <v>1955</v>
      </c>
      <c r="O1956" s="4" t="s">
        <v>2823</v>
      </c>
      <c r="P1956" s="4">
        <v>229</v>
      </c>
      <c r="Q1956" s="4" t="str">
        <f t="shared" si="98"/>
        <v>河池市</v>
      </c>
      <c r="R1956" s="4">
        <f t="shared" si="96"/>
        <v>20</v>
      </c>
      <c r="S1956" s="4" t="str">
        <f t="shared" si="97"/>
        <v>广西壮族自治区</v>
      </c>
    </row>
    <row r="1957" spans="14:19">
      <c r="N1957" s="4">
        <v>1956</v>
      </c>
      <c r="O1957" s="4" t="s">
        <v>2824</v>
      </c>
      <c r="P1957" s="4">
        <v>229</v>
      </c>
      <c r="Q1957" s="4" t="str">
        <f t="shared" si="98"/>
        <v>河池市</v>
      </c>
      <c r="R1957" s="4">
        <f t="shared" si="96"/>
        <v>20</v>
      </c>
      <c r="S1957" s="4" t="str">
        <f t="shared" si="97"/>
        <v>广西壮族自治区</v>
      </c>
    </row>
    <row r="1958" spans="14:19">
      <c r="N1958" s="4">
        <v>1957</v>
      </c>
      <c r="O1958" s="4" t="s">
        <v>2825</v>
      </c>
      <c r="P1958" s="4">
        <v>229</v>
      </c>
      <c r="Q1958" s="4" t="str">
        <f t="shared" si="98"/>
        <v>河池市</v>
      </c>
      <c r="R1958" s="4">
        <f t="shared" si="96"/>
        <v>20</v>
      </c>
      <c r="S1958" s="4" t="str">
        <f t="shared" si="97"/>
        <v>广西壮族自治区</v>
      </c>
    </row>
    <row r="1959" spans="14:19">
      <c r="N1959" s="4">
        <v>1958</v>
      </c>
      <c r="O1959" s="4" t="s">
        <v>2826</v>
      </c>
      <c r="P1959" s="4">
        <v>229</v>
      </c>
      <c r="Q1959" s="4" t="str">
        <f t="shared" si="98"/>
        <v>河池市</v>
      </c>
      <c r="R1959" s="4">
        <f t="shared" si="96"/>
        <v>20</v>
      </c>
      <c r="S1959" s="4" t="str">
        <f t="shared" si="97"/>
        <v>广西壮族自治区</v>
      </c>
    </row>
    <row r="1960" spans="14:19">
      <c r="N1960" s="4">
        <v>1959</v>
      </c>
      <c r="O1960" s="4" t="s">
        <v>2827</v>
      </c>
      <c r="P1960" s="4">
        <v>229</v>
      </c>
      <c r="Q1960" s="4" t="str">
        <f t="shared" si="98"/>
        <v>河池市</v>
      </c>
      <c r="R1960" s="4">
        <f t="shared" si="96"/>
        <v>20</v>
      </c>
      <c r="S1960" s="4" t="str">
        <f t="shared" si="97"/>
        <v>广西壮族自治区</v>
      </c>
    </row>
    <row r="1961" spans="14:19">
      <c r="N1961" s="4">
        <v>1960</v>
      </c>
      <c r="O1961" s="4" t="s">
        <v>2828</v>
      </c>
      <c r="P1961" s="4">
        <v>229</v>
      </c>
      <c r="Q1961" s="4" t="str">
        <f t="shared" si="98"/>
        <v>河池市</v>
      </c>
      <c r="R1961" s="4">
        <f t="shared" si="96"/>
        <v>20</v>
      </c>
      <c r="S1961" s="4" t="str">
        <f t="shared" si="97"/>
        <v>广西壮族自治区</v>
      </c>
    </row>
    <row r="1962" spans="14:19">
      <c r="N1962" s="4">
        <v>1961</v>
      </c>
      <c r="O1962" s="4" t="s">
        <v>2829</v>
      </c>
      <c r="P1962" s="4">
        <v>229</v>
      </c>
      <c r="Q1962" s="4" t="str">
        <f t="shared" si="98"/>
        <v>河池市</v>
      </c>
      <c r="R1962" s="4">
        <f t="shared" si="96"/>
        <v>20</v>
      </c>
      <c r="S1962" s="4" t="str">
        <f t="shared" si="97"/>
        <v>广西壮族自治区</v>
      </c>
    </row>
    <row r="1963" spans="14:19">
      <c r="N1963" s="4">
        <v>1962</v>
      </c>
      <c r="O1963" s="4" t="s">
        <v>2830</v>
      </c>
      <c r="P1963" s="4">
        <v>229</v>
      </c>
      <c r="Q1963" s="4" t="str">
        <f t="shared" si="98"/>
        <v>河池市</v>
      </c>
      <c r="R1963" s="4">
        <f t="shared" si="96"/>
        <v>20</v>
      </c>
      <c r="S1963" s="4" t="str">
        <f t="shared" si="97"/>
        <v>广西壮族自治区</v>
      </c>
    </row>
    <row r="1964" spans="14:19">
      <c r="N1964" s="4">
        <v>1963</v>
      </c>
      <c r="O1964" s="4" t="s">
        <v>2831</v>
      </c>
      <c r="P1964" s="4">
        <v>229</v>
      </c>
      <c r="Q1964" s="4" t="str">
        <f t="shared" si="98"/>
        <v>河池市</v>
      </c>
      <c r="R1964" s="4">
        <f t="shared" si="96"/>
        <v>20</v>
      </c>
      <c r="S1964" s="4" t="str">
        <f t="shared" si="97"/>
        <v>广西壮族自治区</v>
      </c>
    </row>
    <row r="1965" spans="14:19">
      <c r="N1965" s="4">
        <v>1964</v>
      </c>
      <c r="O1965" s="4" t="s">
        <v>2832</v>
      </c>
      <c r="P1965" s="4">
        <v>230</v>
      </c>
      <c r="Q1965" s="4" t="str">
        <f t="shared" si="98"/>
        <v>来宾市</v>
      </c>
      <c r="R1965" s="4">
        <f t="shared" si="96"/>
        <v>20</v>
      </c>
      <c r="S1965" s="4" t="str">
        <f t="shared" si="97"/>
        <v>广西壮族自治区</v>
      </c>
    </row>
    <row r="1966" spans="14:19">
      <c r="N1966" s="4">
        <v>1965</v>
      </c>
      <c r="O1966" s="4" t="s">
        <v>2833</v>
      </c>
      <c r="P1966" s="4">
        <v>230</v>
      </c>
      <c r="Q1966" s="4" t="str">
        <f t="shared" si="98"/>
        <v>来宾市</v>
      </c>
      <c r="R1966" s="4">
        <f t="shared" si="96"/>
        <v>20</v>
      </c>
      <c r="S1966" s="4" t="str">
        <f t="shared" si="97"/>
        <v>广西壮族自治区</v>
      </c>
    </row>
    <row r="1967" spans="14:19">
      <c r="N1967" s="4">
        <v>1966</v>
      </c>
      <c r="O1967" s="4" t="s">
        <v>2834</v>
      </c>
      <c r="P1967" s="4">
        <v>230</v>
      </c>
      <c r="Q1967" s="4" t="str">
        <f t="shared" si="98"/>
        <v>来宾市</v>
      </c>
      <c r="R1967" s="4">
        <f t="shared" si="96"/>
        <v>20</v>
      </c>
      <c r="S1967" s="4" t="str">
        <f t="shared" si="97"/>
        <v>广西壮族自治区</v>
      </c>
    </row>
    <row r="1968" spans="14:19">
      <c r="N1968" s="4">
        <v>1967</v>
      </c>
      <c r="O1968" s="4" t="s">
        <v>2835</v>
      </c>
      <c r="P1968" s="4">
        <v>230</v>
      </c>
      <c r="Q1968" s="4" t="str">
        <f t="shared" si="98"/>
        <v>来宾市</v>
      </c>
      <c r="R1968" s="4">
        <f t="shared" si="96"/>
        <v>20</v>
      </c>
      <c r="S1968" s="4" t="str">
        <f t="shared" si="97"/>
        <v>广西壮族自治区</v>
      </c>
    </row>
    <row r="1969" spans="14:19">
      <c r="N1969" s="4">
        <v>1968</v>
      </c>
      <c r="O1969" s="4" t="s">
        <v>2836</v>
      </c>
      <c r="P1969" s="4">
        <v>230</v>
      </c>
      <c r="Q1969" s="4" t="str">
        <f t="shared" si="98"/>
        <v>来宾市</v>
      </c>
      <c r="R1969" s="4">
        <f t="shared" si="96"/>
        <v>20</v>
      </c>
      <c r="S1969" s="4" t="str">
        <f t="shared" si="97"/>
        <v>广西壮族自治区</v>
      </c>
    </row>
    <row r="1970" spans="14:19">
      <c r="N1970" s="4">
        <v>1969</v>
      </c>
      <c r="O1970" s="4" t="s">
        <v>2837</v>
      </c>
      <c r="P1970" s="4">
        <v>230</v>
      </c>
      <c r="Q1970" s="4" t="str">
        <f t="shared" si="98"/>
        <v>来宾市</v>
      </c>
      <c r="R1970" s="4">
        <f t="shared" si="96"/>
        <v>20</v>
      </c>
      <c r="S1970" s="4" t="str">
        <f t="shared" si="97"/>
        <v>广西壮族自治区</v>
      </c>
    </row>
    <row r="1971" spans="14:19">
      <c r="N1971" s="4">
        <v>1970</v>
      </c>
      <c r="O1971" s="4" t="s">
        <v>2838</v>
      </c>
      <c r="P1971" s="4">
        <v>231</v>
      </c>
      <c r="Q1971" s="4" t="str">
        <f t="shared" si="98"/>
        <v>崇左市</v>
      </c>
      <c r="R1971" s="4">
        <f t="shared" si="96"/>
        <v>20</v>
      </c>
      <c r="S1971" s="4" t="str">
        <f t="shared" si="97"/>
        <v>广西壮族自治区</v>
      </c>
    </row>
    <row r="1972" spans="14:19">
      <c r="N1972" s="4">
        <v>1971</v>
      </c>
      <c r="O1972" s="4" t="s">
        <v>2839</v>
      </c>
      <c r="P1972" s="4">
        <v>231</v>
      </c>
      <c r="Q1972" s="4" t="str">
        <f t="shared" si="98"/>
        <v>崇左市</v>
      </c>
      <c r="R1972" s="4">
        <f t="shared" si="96"/>
        <v>20</v>
      </c>
      <c r="S1972" s="4" t="str">
        <f t="shared" si="97"/>
        <v>广西壮族自治区</v>
      </c>
    </row>
    <row r="1973" spans="14:19">
      <c r="N1973" s="4">
        <v>1972</v>
      </c>
      <c r="O1973" s="4" t="s">
        <v>2840</v>
      </c>
      <c r="P1973" s="4">
        <v>231</v>
      </c>
      <c r="Q1973" s="4" t="str">
        <f t="shared" si="98"/>
        <v>崇左市</v>
      </c>
      <c r="R1973" s="4">
        <f t="shared" si="96"/>
        <v>20</v>
      </c>
      <c r="S1973" s="4" t="str">
        <f t="shared" si="97"/>
        <v>广西壮族自治区</v>
      </c>
    </row>
    <row r="1974" spans="14:19">
      <c r="N1974" s="4">
        <v>1973</v>
      </c>
      <c r="O1974" s="4" t="s">
        <v>2841</v>
      </c>
      <c r="P1974" s="4">
        <v>231</v>
      </c>
      <c r="Q1974" s="4" t="str">
        <f t="shared" si="98"/>
        <v>崇左市</v>
      </c>
      <c r="R1974" s="4">
        <f t="shared" si="96"/>
        <v>20</v>
      </c>
      <c r="S1974" s="4" t="str">
        <f t="shared" si="97"/>
        <v>广西壮族自治区</v>
      </c>
    </row>
    <row r="1975" spans="14:19">
      <c r="N1975" s="4">
        <v>1974</v>
      </c>
      <c r="O1975" s="4" t="s">
        <v>2842</v>
      </c>
      <c r="P1975" s="4">
        <v>231</v>
      </c>
      <c r="Q1975" s="4" t="str">
        <f t="shared" si="98"/>
        <v>崇左市</v>
      </c>
      <c r="R1975" s="4">
        <f t="shared" si="96"/>
        <v>20</v>
      </c>
      <c r="S1975" s="4" t="str">
        <f t="shared" si="97"/>
        <v>广西壮族自治区</v>
      </c>
    </row>
    <row r="1976" spans="14:19">
      <c r="N1976" s="4">
        <v>1975</v>
      </c>
      <c r="O1976" s="4" t="s">
        <v>2843</v>
      </c>
      <c r="P1976" s="4">
        <v>231</v>
      </c>
      <c r="Q1976" s="4" t="str">
        <f t="shared" si="98"/>
        <v>崇左市</v>
      </c>
      <c r="R1976" s="4">
        <f t="shared" si="96"/>
        <v>20</v>
      </c>
      <c r="S1976" s="4" t="str">
        <f t="shared" si="97"/>
        <v>广西壮族自治区</v>
      </c>
    </row>
    <row r="1977" spans="14:19">
      <c r="N1977" s="4">
        <v>1976</v>
      </c>
      <c r="O1977" s="4" t="s">
        <v>2844</v>
      </c>
      <c r="P1977" s="4">
        <v>231</v>
      </c>
      <c r="Q1977" s="4" t="str">
        <f t="shared" si="98"/>
        <v>崇左市</v>
      </c>
      <c r="R1977" s="4">
        <f t="shared" si="96"/>
        <v>20</v>
      </c>
      <c r="S1977" s="4" t="str">
        <f t="shared" si="97"/>
        <v>广西壮族自治区</v>
      </c>
    </row>
    <row r="1978" spans="14:19">
      <c r="N1978" s="4">
        <v>1977</v>
      </c>
      <c r="O1978" s="4" t="s">
        <v>2845</v>
      </c>
      <c r="P1978" s="4">
        <v>232</v>
      </c>
      <c r="Q1978" s="4" t="str">
        <f t="shared" si="98"/>
        <v>海口市</v>
      </c>
      <c r="R1978" s="4">
        <f t="shared" si="96"/>
        <v>21</v>
      </c>
      <c r="S1978" s="4" t="str">
        <f t="shared" si="97"/>
        <v>海南省</v>
      </c>
    </row>
    <row r="1979" spans="14:19">
      <c r="N1979" s="4">
        <v>1978</v>
      </c>
      <c r="O1979" s="4" t="s">
        <v>2846</v>
      </c>
      <c r="P1979" s="4">
        <v>232</v>
      </c>
      <c r="Q1979" s="4" t="str">
        <f t="shared" si="98"/>
        <v>海口市</v>
      </c>
      <c r="R1979" s="4">
        <f t="shared" si="96"/>
        <v>21</v>
      </c>
      <c r="S1979" s="4" t="str">
        <f t="shared" si="97"/>
        <v>海南省</v>
      </c>
    </row>
    <row r="1980" spans="14:19">
      <c r="N1980" s="4">
        <v>1979</v>
      </c>
      <c r="O1980" s="4" t="s">
        <v>2847</v>
      </c>
      <c r="P1980" s="4">
        <v>232</v>
      </c>
      <c r="Q1980" s="4" t="str">
        <f t="shared" si="98"/>
        <v>海口市</v>
      </c>
      <c r="R1980" s="4">
        <f t="shared" si="96"/>
        <v>21</v>
      </c>
      <c r="S1980" s="4" t="str">
        <f t="shared" si="97"/>
        <v>海南省</v>
      </c>
    </row>
    <row r="1981" spans="14:19">
      <c r="N1981" s="4">
        <v>1980</v>
      </c>
      <c r="O1981" s="4" t="s">
        <v>2848</v>
      </c>
      <c r="P1981" s="4">
        <v>232</v>
      </c>
      <c r="Q1981" s="4" t="str">
        <f t="shared" si="98"/>
        <v>海口市</v>
      </c>
      <c r="R1981" s="4">
        <f t="shared" si="96"/>
        <v>21</v>
      </c>
      <c r="S1981" s="4" t="str">
        <f t="shared" si="97"/>
        <v>海南省</v>
      </c>
    </row>
    <row r="1982" spans="14:19">
      <c r="N1982" s="4">
        <v>1981</v>
      </c>
      <c r="O1982" s="4" t="s">
        <v>2849</v>
      </c>
      <c r="P1982" s="4">
        <v>233</v>
      </c>
      <c r="Q1982" s="4" t="str">
        <f t="shared" si="98"/>
        <v>三亚市</v>
      </c>
      <c r="R1982" s="4">
        <f t="shared" si="96"/>
        <v>21</v>
      </c>
      <c r="S1982" s="4" t="str">
        <f t="shared" si="97"/>
        <v>海南省</v>
      </c>
    </row>
    <row r="1983" spans="14:19">
      <c r="N1983" s="4">
        <v>1982</v>
      </c>
      <c r="O1983" s="4" t="s">
        <v>2850</v>
      </c>
      <c r="P1983" s="4">
        <v>233</v>
      </c>
      <c r="Q1983" s="4" t="str">
        <f t="shared" si="98"/>
        <v>三亚市</v>
      </c>
      <c r="R1983" s="4">
        <f t="shared" si="96"/>
        <v>21</v>
      </c>
      <c r="S1983" s="4" t="str">
        <f t="shared" si="97"/>
        <v>海南省</v>
      </c>
    </row>
    <row r="1984" spans="14:19">
      <c r="N1984" s="4">
        <v>1983</v>
      </c>
      <c r="O1984" s="4" t="s">
        <v>2851</v>
      </c>
      <c r="P1984" s="4">
        <v>233</v>
      </c>
      <c r="Q1984" s="4" t="str">
        <f t="shared" si="98"/>
        <v>三亚市</v>
      </c>
      <c r="R1984" s="4">
        <f t="shared" si="96"/>
        <v>21</v>
      </c>
      <c r="S1984" s="4" t="str">
        <f t="shared" si="97"/>
        <v>海南省</v>
      </c>
    </row>
    <row r="1985" spans="14:19">
      <c r="N1985" s="4">
        <v>1984</v>
      </c>
      <c r="O1985" s="4" t="s">
        <v>2852</v>
      </c>
      <c r="P1985" s="4">
        <v>233</v>
      </c>
      <c r="Q1985" s="4" t="str">
        <f t="shared" si="98"/>
        <v>三亚市</v>
      </c>
      <c r="R1985" s="4">
        <f t="shared" si="96"/>
        <v>21</v>
      </c>
      <c r="S1985" s="4" t="str">
        <f t="shared" si="97"/>
        <v>海南省</v>
      </c>
    </row>
    <row r="1986" spans="14:19">
      <c r="N1986" s="4">
        <v>1985</v>
      </c>
      <c r="O1986" s="4" t="s">
        <v>2853</v>
      </c>
      <c r="P1986" s="4">
        <v>233</v>
      </c>
      <c r="Q1986" s="4" t="str">
        <f t="shared" si="98"/>
        <v>三亚市</v>
      </c>
      <c r="R1986" s="4">
        <f t="shared" ref="R1986:R2049" si="99">VLOOKUP(P1986,$I$2:$M$346,3,FALSE)</f>
        <v>21</v>
      </c>
      <c r="S1986" s="4" t="str">
        <f t="shared" ref="S1986:S2049" si="100">VLOOKUP(P1986,$I$2:$M$346,4,FALSE)</f>
        <v>海南省</v>
      </c>
    </row>
    <row r="1987" spans="14:19">
      <c r="N1987" s="4">
        <v>1986</v>
      </c>
      <c r="O1987" s="4" t="s">
        <v>2854</v>
      </c>
      <c r="P1987" s="4">
        <v>233</v>
      </c>
      <c r="Q1987" s="4" t="str">
        <f t="shared" ref="Q1987:Q2050" si="101">VLOOKUP(P1987,$I$2:$J$346,2,FALSE)</f>
        <v>三亚市</v>
      </c>
      <c r="R1987" s="4">
        <f t="shared" si="99"/>
        <v>21</v>
      </c>
      <c r="S1987" s="4" t="str">
        <f t="shared" si="100"/>
        <v>海南省</v>
      </c>
    </row>
    <row r="1988" spans="14:19">
      <c r="N1988" s="4">
        <v>1987</v>
      </c>
      <c r="O1988" s="4" t="s">
        <v>2855</v>
      </c>
      <c r="P1988" s="4">
        <v>233</v>
      </c>
      <c r="Q1988" s="4" t="str">
        <f t="shared" si="101"/>
        <v>三亚市</v>
      </c>
      <c r="R1988" s="4">
        <f t="shared" si="99"/>
        <v>21</v>
      </c>
      <c r="S1988" s="4" t="str">
        <f t="shared" si="100"/>
        <v>海南省</v>
      </c>
    </row>
    <row r="1989" spans="14:19">
      <c r="N1989" s="4">
        <v>1988</v>
      </c>
      <c r="O1989" s="4" t="s">
        <v>2856</v>
      </c>
      <c r="P1989" s="4">
        <v>233</v>
      </c>
      <c r="Q1989" s="4" t="str">
        <f t="shared" si="101"/>
        <v>三亚市</v>
      </c>
      <c r="R1989" s="4">
        <f t="shared" si="99"/>
        <v>21</v>
      </c>
      <c r="S1989" s="4" t="str">
        <f t="shared" si="100"/>
        <v>海南省</v>
      </c>
    </row>
    <row r="1990" spans="14:19">
      <c r="N1990" s="4">
        <v>1989</v>
      </c>
      <c r="O1990" s="4" t="s">
        <v>2857</v>
      </c>
      <c r="P1990" s="4">
        <v>233</v>
      </c>
      <c r="Q1990" s="4" t="str">
        <f t="shared" si="101"/>
        <v>三亚市</v>
      </c>
      <c r="R1990" s="4">
        <f t="shared" si="99"/>
        <v>21</v>
      </c>
      <c r="S1990" s="4" t="str">
        <f t="shared" si="100"/>
        <v>海南省</v>
      </c>
    </row>
    <row r="1991" spans="14:19">
      <c r="N1991" s="4">
        <v>1990</v>
      </c>
      <c r="O1991" s="4" t="s">
        <v>2858</v>
      </c>
      <c r="P1991" s="4">
        <v>233</v>
      </c>
      <c r="Q1991" s="4" t="str">
        <f t="shared" si="101"/>
        <v>三亚市</v>
      </c>
      <c r="R1991" s="4">
        <f t="shared" si="99"/>
        <v>21</v>
      </c>
      <c r="S1991" s="4" t="str">
        <f t="shared" si="100"/>
        <v>海南省</v>
      </c>
    </row>
    <row r="1992" spans="14:19">
      <c r="N1992" s="4">
        <v>1991</v>
      </c>
      <c r="O1992" s="4" t="s">
        <v>2859</v>
      </c>
      <c r="P1992" s="4">
        <v>233</v>
      </c>
      <c r="Q1992" s="4" t="str">
        <f t="shared" si="101"/>
        <v>三亚市</v>
      </c>
      <c r="R1992" s="4">
        <f t="shared" si="99"/>
        <v>21</v>
      </c>
      <c r="S1992" s="4" t="str">
        <f t="shared" si="100"/>
        <v>海南省</v>
      </c>
    </row>
    <row r="1993" spans="14:19">
      <c r="N1993" s="4">
        <v>1992</v>
      </c>
      <c r="O1993" s="4" t="s">
        <v>2860</v>
      </c>
      <c r="P1993" s="4">
        <v>233</v>
      </c>
      <c r="Q1993" s="4" t="str">
        <f t="shared" si="101"/>
        <v>三亚市</v>
      </c>
      <c r="R1993" s="4">
        <f t="shared" si="99"/>
        <v>21</v>
      </c>
      <c r="S1993" s="4" t="str">
        <f t="shared" si="100"/>
        <v>海南省</v>
      </c>
    </row>
    <row r="1994" spans="14:19">
      <c r="N1994" s="4">
        <v>1993</v>
      </c>
      <c r="O1994" s="4" t="s">
        <v>2861</v>
      </c>
      <c r="P1994" s="4">
        <v>233</v>
      </c>
      <c r="Q1994" s="4" t="str">
        <f t="shared" si="101"/>
        <v>三亚市</v>
      </c>
      <c r="R1994" s="4">
        <f t="shared" si="99"/>
        <v>21</v>
      </c>
      <c r="S1994" s="4" t="str">
        <f t="shared" si="100"/>
        <v>海南省</v>
      </c>
    </row>
    <row r="1995" spans="14:19">
      <c r="N1995" s="4">
        <v>1994</v>
      </c>
      <c r="O1995" s="4" t="s">
        <v>2862</v>
      </c>
      <c r="P1995" s="4">
        <v>233</v>
      </c>
      <c r="Q1995" s="4" t="str">
        <f t="shared" si="101"/>
        <v>三亚市</v>
      </c>
      <c r="R1995" s="4">
        <f t="shared" si="99"/>
        <v>21</v>
      </c>
      <c r="S1995" s="4" t="str">
        <f t="shared" si="100"/>
        <v>海南省</v>
      </c>
    </row>
    <row r="1996" spans="14:19">
      <c r="N1996" s="4">
        <v>1995</v>
      </c>
      <c r="O1996" s="4" t="s">
        <v>2863</v>
      </c>
      <c r="P1996" s="4">
        <v>233</v>
      </c>
      <c r="Q1996" s="4" t="str">
        <f t="shared" si="101"/>
        <v>三亚市</v>
      </c>
      <c r="R1996" s="4">
        <f t="shared" si="99"/>
        <v>21</v>
      </c>
      <c r="S1996" s="4" t="str">
        <f t="shared" si="100"/>
        <v>海南省</v>
      </c>
    </row>
    <row r="1997" spans="14:19">
      <c r="N1997" s="4">
        <v>1996</v>
      </c>
      <c r="O1997" s="4" t="s">
        <v>2864</v>
      </c>
      <c r="P1997" s="4">
        <v>233</v>
      </c>
      <c r="Q1997" s="4" t="str">
        <f t="shared" si="101"/>
        <v>三亚市</v>
      </c>
      <c r="R1997" s="4">
        <f t="shared" si="99"/>
        <v>21</v>
      </c>
      <c r="S1997" s="4" t="str">
        <f t="shared" si="100"/>
        <v>海南省</v>
      </c>
    </row>
    <row r="1998" spans="14:19">
      <c r="N1998" s="4">
        <v>1997</v>
      </c>
      <c r="O1998" s="4" t="s">
        <v>2865</v>
      </c>
      <c r="P1998" s="4">
        <v>233</v>
      </c>
      <c r="Q1998" s="4" t="str">
        <f t="shared" si="101"/>
        <v>三亚市</v>
      </c>
      <c r="R1998" s="4">
        <f t="shared" si="99"/>
        <v>21</v>
      </c>
      <c r="S1998" s="4" t="str">
        <f t="shared" si="100"/>
        <v>海南省</v>
      </c>
    </row>
    <row r="1999" spans="14:19">
      <c r="N1999" s="4">
        <v>1998</v>
      </c>
      <c r="O1999" s="4" t="s">
        <v>2866</v>
      </c>
      <c r="P1999" s="4">
        <v>233</v>
      </c>
      <c r="Q1999" s="4" t="str">
        <f t="shared" si="101"/>
        <v>三亚市</v>
      </c>
      <c r="R1999" s="4">
        <f t="shared" si="99"/>
        <v>21</v>
      </c>
      <c r="S1999" s="4" t="str">
        <f t="shared" si="100"/>
        <v>海南省</v>
      </c>
    </row>
    <row r="2000" spans="14:19">
      <c r="N2000" s="4">
        <v>1999</v>
      </c>
      <c r="O2000" s="4" t="s">
        <v>2867</v>
      </c>
      <c r="P2000" s="4">
        <v>233</v>
      </c>
      <c r="Q2000" s="4" t="str">
        <f t="shared" si="101"/>
        <v>三亚市</v>
      </c>
      <c r="R2000" s="4">
        <f t="shared" si="99"/>
        <v>21</v>
      </c>
      <c r="S2000" s="4" t="str">
        <f t="shared" si="100"/>
        <v>海南省</v>
      </c>
    </row>
    <row r="2001" spans="14:19">
      <c r="N2001" s="4">
        <v>2000</v>
      </c>
      <c r="O2001" s="4" t="s">
        <v>2868</v>
      </c>
      <c r="P2001" s="4">
        <v>234</v>
      </c>
      <c r="Q2001" s="4" t="str">
        <f t="shared" si="101"/>
        <v>重庆市</v>
      </c>
      <c r="R2001" s="4">
        <f t="shared" si="99"/>
        <v>22</v>
      </c>
      <c r="S2001" s="4" t="str">
        <f t="shared" si="100"/>
        <v>重庆市</v>
      </c>
    </row>
    <row r="2002" spans="14:19">
      <c r="N2002" s="4">
        <v>2001</v>
      </c>
      <c r="O2002" s="4" t="s">
        <v>2869</v>
      </c>
      <c r="P2002" s="4">
        <v>234</v>
      </c>
      <c r="Q2002" s="4" t="str">
        <f t="shared" si="101"/>
        <v>重庆市</v>
      </c>
      <c r="R2002" s="4">
        <f t="shared" si="99"/>
        <v>22</v>
      </c>
      <c r="S2002" s="4" t="str">
        <f t="shared" si="100"/>
        <v>重庆市</v>
      </c>
    </row>
    <row r="2003" spans="14:19">
      <c r="N2003" s="4">
        <v>2002</v>
      </c>
      <c r="O2003" s="4" t="s">
        <v>2870</v>
      </c>
      <c r="P2003" s="4">
        <v>234</v>
      </c>
      <c r="Q2003" s="4" t="str">
        <f t="shared" si="101"/>
        <v>重庆市</v>
      </c>
      <c r="R2003" s="4">
        <f t="shared" si="99"/>
        <v>22</v>
      </c>
      <c r="S2003" s="4" t="str">
        <f t="shared" si="100"/>
        <v>重庆市</v>
      </c>
    </row>
    <row r="2004" spans="14:19">
      <c r="N2004" s="4">
        <v>2003</v>
      </c>
      <c r="O2004" s="4" t="s">
        <v>2871</v>
      </c>
      <c r="P2004" s="4">
        <v>234</v>
      </c>
      <c r="Q2004" s="4" t="str">
        <f t="shared" si="101"/>
        <v>重庆市</v>
      </c>
      <c r="R2004" s="4">
        <f t="shared" si="99"/>
        <v>22</v>
      </c>
      <c r="S2004" s="4" t="str">
        <f t="shared" si="100"/>
        <v>重庆市</v>
      </c>
    </row>
    <row r="2005" spans="14:19">
      <c r="N2005" s="4">
        <v>2004</v>
      </c>
      <c r="O2005" s="4" t="s">
        <v>1743</v>
      </c>
      <c r="P2005" s="4">
        <v>234</v>
      </c>
      <c r="Q2005" s="4" t="str">
        <f t="shared" si="101"/>
        <v>重庆市</v>
      </c>
      <c r="R2005" s="4">
        <f t="shared" si="99"/>
        <v>22</v>
      </c>
      <c r="S2005" s="4" t="str">
        <f t="shared" si="100"/>
        <v>重庆市</v>
      </c>
    </row>
    <row r="2006" spans="14:19">
      <c r="N2006" s="4">
        <v>2005</v>
      </c>
      <c r="O2006" s="4" t="s">
        <v>2872</v>
      </c>
      <c r="P2006" s="4">
        <v>234</v>
      </c>
      <c r="Q2006" s="4" t="str">
        <f t="shared" si="101"/>
        <v>重庆市</v>
      </c>
      <c r="R2006" s="4">
        <f t="shared" si="99"/>
        <v>22</v>
      </c>
      <c r="S2006" s="4" t="str">
        <f t="shared" si="100"/>
        <v>重庆市</v>
      </c>
    </row>
    <row r="2007" spans="14:19">
      <c r="N2007" s="4">
        <v>2006</v>
      </c>
      <c r="O2007" s="4" t="s">
        <v>2873</v>
      </c>
      <c r="P2007" s="4">
        <v>234</v>
      </c>
      <c r="Q2007" s="4" t="str">
        <f t="shared" si="101"/>
        <v>重庆市</v>
      </c>
      <c r="R2007" s="4">
        <f t="shared" si="99"/>
        <v>22</v>
      </c>
      <c r="S2007" s="4" t="str">
        <f t="shared" si="100"/>
        <v>重庆市</v>
      </c>
    </row>
    <row r="2008" spans="14:19">
      <c r="N2008" s="4">
        <v>2007</v>
      </c>
      <c r="O2008" s="4" t="s">
        <v>2874</v>
      </c>
      <c r="P2008" s="4">
        <v>234</v>
      </c>
      <c r="Q2008" s="4" t="str">
        <f t="shared" si="101"/>
        <v>重庆市</v>
      </c>
      <c r="R2008" s="4">
        <f t="shared" si="99"/>
        <v>22</v>
      </c>
      <c r="S2008" s="4" t="str">
        <f t="shared" si="100"/>
        <v>重庆市</v>
      </c>
    </row>
    <row r="2009" spans="14:19">
      <c r="N2009" s="4">
        <v>2008</v>
      </c>
      <c r="O2009" s="4" t="s">
        <v>2875</v>
      </c>
      <c r="P2009" s="4">
        <v>234</v>
      </c>
      <c r="Q2009" s="4" t="str">
        <f t="shared" si="101"/>
        <v>重庆市</v>
      </c>
      <c r="R2009" s="4">
        <f t="shared" si="99"/>
        <v>22</v>
      </c>
      <c r="S2009" s="4" t="str">
        <f t="shared" si="100"/>
        <v>重庆市</v>
      </c>
    </row>
    <row r="2010" spans="14:19">
      <c r="N2010" s="4">
        <v>2009</v>
      </c>
      <c r="O2010" s="4" t="s">
        <v>2876</v>
      </c>
      <c r="P2010" s="4">
        <v>234</v>
      </c>
      <c r="Q2010" s="4" t="str">
        <f t="shared" si="101"/>
        <v>重庆市</v>
      </c>
      <c r="R2010" s="4">
        <f t="shared" si="99"/>
        <v>22</v>
      </c>
      <c r="S2010" s="4" t="str">
        <f t="shared" si="100"/>
        <v>重庆市</v>
      </c>
    </row>
    <row r="2011" spans="14:19">
      <c r="N2011" s="4">
        <v>2010</v>
      </c>
      <c r="O2011" s="4" t="s">
        <v>704</v>
      </c>
      <c r="P2011" s="4">
        <v>234</v>
      </c>
      <c r="Q2011" s="4" t="str">
        <f t="shared" si="101"/>
        <v>重庆市</v>
      </c>
      <c r="R2011" s="4">
        <f t="shared" si="99"/>
        <v>22</v>
      </c>
      <c r="S2011" s="4" t="str">
        <f t="shared" si="100"/>
        <v>重庆市</v>
      </c>
    </row>
    <row r="2012" spans="14:19">
      <c r="N2012" s="4">
        <v>2011</v>
      </c>
      <c r="O2012" s="4" t="s">
        <v>2877</v>
      </c>
      <c r="P2012" s="4">
        <v>234</v>
      </c>
      <c r="Q2012" s="4" t="str">
        <f t="shared" si="101"/>
        <v>重庆市</v>
      </c>
      <c r="R2012" s="4">
        <f t="shared" si="99"/>
        <v>22</v>
      </c>
      <c r="S2012" s="4" t="str">
        <f t="shared" si="100"/>
        <v>重庆市</v>
      </c>
    </row>
    <row r="2013" spans="14:19">
      <c r="N2013" s="4">
        <v>2012</v>
      </c>
      <c r="O2013" s="4" t="s">
        <v>2878</v>
      </c>
      <c r="P2013" s="4">
        <v>234</v>
      </c>
      <c r="Q2013" s="4" t="str">
        <f t="shared" si="101"/>
        <v>重庆市</v>
      </c>
      <c r="R2013" s="4">
        <f t="shared" si="99"/>
        <v>22</v>
      </c>
      <c r="S2013" s="4" t="str">
        <f t="shared" si="100"/>
        <v>重庆市</v>
      </c>
    </row>
    <row r="2014" spans="14:19">
      <c r="N2014" s="4">
        <v>2013</v>
      </c>
      <c r="O2014" s="4" t="s">
        <v>2879</v>
      </c>
      <c r="P2014" s="4">
        <v>234</v>
      </c>
      <c r="Q2014" s="4" t="str">
        <f t="shared" si="101"/>
        <v>重庆市</v>
      </c>
      <c r="R2014" s="4">
        <f t="shared" si="99"/>
        <v>22</v>
      </c>
      <c r="S2014" s="4" t="str">
        <f t="shared" si="100"/>
        <v>重庆市</v>
      </c>
    </row>
    <row r="2015" spans="14:19">
      <c r="N2015" s="4">
        <v>2014</v>
      </c>
      <c r="O2015" s="4" t="s">
        <v>2880</v>
      </c>
      <c r="P2015" s="4">
        <v>234</v>
      </c>
      <c r="Q2015" s="4" t="str">
        <f t="shared" si="101"/>
        <v>重庆市</v>
      </c>
      <c r="R2015" s="4">
        <f t="shared" si="99"/>
        <v>22</v>
      </c>
      <c r="S2015" s="4" t="str">
        <f t="shared" si="100"/>
        <v>重庆市</v>
      </c>
    </row>
    <row r="2016" spans="14:19">
      <c r="N2016" s="4">
        <v>2015</v>
      </c>
      <c r="O2016" s="4" t="s">
        <v>2881</v>
      </c>
      <c r="P2016" s="4">
        <v>234</v>
      </c>
      <c r="Q2016" s="4" t="str">
        <f t="shared" si="101"/>
        <v>重庆市</v>
      </c>
      <c r="R2016" s="4">
        <f t="shared" si="99"/>
        <v>22</v>
      </c>
      <c r="S2016" s="4" t="str">
        <f t="shared" si="100"/>
        <v>重庆市</v>
      </c>
    </row>
    <row r="2017" spans="14:19">
      <c r="N2017" s="4">
        <v>2016</v>
      </c>
      <c r="O2017" s="4" t="s">
        <v>2882</v>
      </c>
      <c r="P2017" s="4">
        <v>234</v>
      </c>
      <c r="Q2017" s="4" t="str">
        <f t="shared" si="101"/>
        <v>重庆市</v>
      </c>
      <c r="R2017" s="4">
        <f t="shared" si="99"/>
        <v>22</v>
      </c>
      <c r="S2017" s="4" t="str">
        <f t="shared" si="100"/>
        <v>重庆市</v>
      </c>
    </row>
    <row r="2018" spans="14:19">
      <c r="N2018" s="4">
        <v>2017</v>
      </c>
      <c r="O2018" s="4" t="s">
        <v>2883</v>
      </c>
      <c r="P2018" s="4">
        <v>234</v>
      </c>
      <c r="Q2018" s="4" t="str">
        <f t="shared" si="101"/>
        <v>重庆市</v>
      </c>
      <c r="R2018" s="4">
        <f t="shared" si="99"/>
        <v>22</v>
      </c>
      <c r="S2018" s="4" t="str">
        <f t="shared" si="100"/>
        <v>重庆市</v>
      </c>
    </row>
    <row r="2019" spans="14:19">
      <c r="N2019" s="4">
        <v>2018</v>
      </c>
      <c r="O2019" s="4" t="s">
        <v>2884</v>
      </c>
      <c r="P2019" s="4">
        <v>234</v>
      </c>
      <c r="Q2019" s="4" t="str">
        <f t="shared" si="101"/>
        <v>重庆市</v>
      </c>
      <c r="R2019" s="4">
        <f t="shared" si="99"/>
        <v>22</v>
      </c>
      <c r="S2019" s="4" t="str">
        <f t="shared" si="100"/>
        <v>重庆市</v>
      </c>
    </row>
    <row r="2020" spans="14:19">
      <c r="N2020" s="4">
        <v>2019</v>
      </c>
      <c r="O2020" s="4" t="s">
        <v>2885</v>
      </c>
      <c r="P2020" s="4">
        <v>234</v>
      </c>
      <c r="Q2020" s="4" t="str">
        <f t="shared" si="101"/>
        <v>重庆市</v>
      </c>
      <c r="R2020" s="4">
        <f t="shared" si="99"/>
        <v>22</v>
      </c>
      <c r="S2020" s="4" t="str">
        <f t="shared" si="100"/>
        <v>重庆市</v>
      </c>
    </row>
    <row r="2021" spans="14:19">
      <c r="N2021" s="4">
        <v>2020</v>
      </c>
      <c r="O2021" s="4" t="s">
        <v>2886</v>
      </c>
      <c r="P2021" s="4">
        <v>234</v>
      </c>
      <c r="Q2021" s="4" t="str">
        <f t="shared" si="101"/>
        <v>重庆市</v>
      </c>
      <c r="R2021" s="4">
        <f t="shared" si="99"/>
        <v>22</v>
      </c>
      <c r="S2021" s="4" t="str">
        <f t="shared" si="100"/>
        <v>重庆市</v>
      </c>
    </row>
    <row r="2022" spans="14:19">
      <c r="N2022" s="4">
        <v>2021</v>
      </c>
      <c r="O2022" s="4" t="s">
        <v>2887</v>
      </c>
      <c r="P2022" s="4">
        <v>234</v>
      </c>
      <c r="Q2022" s="4" t="str">
        <f t="shared" si="101"/>
        <v>重庆市</v>
      </c>
      <c r="R2022" s="4">
        <f t="shared" si="99"/>
        <v>22</v>
      </c>
      <c r="S2022" s="4" t="str">
        <f t="shared" si="100"/>
        <v>重庆市</v>
      </c>
    </row>
    <row r="2023" spans="14:19">
      <c r="N2023" s="4">
        <v>2022</v>
      </c>
      <c r="O2023" s="4" t="s">
        <v>2888</v>
      </c>
      <c r="P2023" s="4">
        <v>234</v>
      </c>
      <c r="Q2023" s="4" t="str">
        <f t="shared" si="101"/>
        <v>重庆市</v>
      </c>
      <c r="R2023" s="4">
        <f t="shared" si="99"/>
        <v>22</v>
      </c>
      <c r="S2023" s="4" t="str">
        <f t="shared" si="100"/>
        <v>重庆市</v>
      </c>
    </row>
    <row r="2024" spans="14:19">
      <c r="N2024" s="4">
        <v>2023</v>
      </c>
      <c r="O2024" s="4" t="s">
        <v>2889</v>
      </c>
      <c r="P2024" s="4">
        <v>234</v>
      </c>
      <c r="Q2024" s="4" t="str">
        <f t="shared" si="101"/>
        <v>重庆市</v>
      </c>
      <c r="R2024" s="4">
        <f t="shared" si="99"/>
        <v>22</v>
      </c>
      <c r="S2024" s="4" t="str">
        <f t="shared" si="100"/>
        <v>重庆市</v>
      </c>
    </row>
    <row r="2025" spans="14:19">
      <c r="N2025" s="4">
        <v>2024</v>
      </c>
      <c r="O2025" s="4" t="s">
        <v>2890</v>
      </c>
      <c r="P2025" s="4">
        <v>234</v>
      </c>
      <c r="Q2025" s="4" t="str">
        <f t="shared" si="101"/>
        <v>重庆市</v>
      </c>
      <c r="R2025" s="4">
        <f t="shared" si="99"/>
        <v>22</v>
      </c>
      <c r="S2025" s="4" t="str">
        <f t="shared" si="100"/>
        <v>重庆市</v>
      </c>
    </row>
    <row r="2026" spans="14:19">
      <c r="N2026" s="4">
        <v>2025</v>
      </c>
      <c r="O2026" s="4" t="s">
        <v>2891</v>
      </c>
      <c r="P2026" s="4">
        <v>234</v>
      </c>
      <c r="Q2026" s="4" t="str">
        <f t="shared" si="101"/>
        <v>重庆市</v>
      </c>
      <c r="R2026" s="4">
        <f t="shared" si="99"/>
        <v>22</v>
      </c>
      <c r="S2026" s="4" t="str">
        <f t="shared" si="100"/>
        <v>重庆市</v>
      </c>
    </row>
    <row r="2027" spans="14:19">
      <c r="N2027" s="4">
        <v>2026</v>
      </c>
      <c r="O2027" s="4" t="s">
        <v>2892</v>
      </c>
      <c r="P2027" s="4">
        <v>234</v>
      </c>
      <c r="Q2027" s="4" t="str">
        <f t="shared" si="101"/>
        <v>重庆市</v>
      </c>
      <c r="R2027" s="4">
        <f t="shared" si="99"/>
        <v>22</v>
      </c>
      <c r="S2027" s="4" t="str">
        <f t="shared" si="100"/>
        <v>重庆市</v>
      </c>
    </row>
    <row r="2028" spans="14:19">
      <c r="N2028" s="4">
        <v>2027</v>
      </c>
      <c r="O2028" s="4" t="s">
        <v>2893</v>
      </c>
      <c r="P2028" s="4">
        <v>234</v>
      </c>
      <c r="Q2028" s="4" t="str">
        <f t="shared" si="101"/>
        <v>重庆市</v>
      </c>
      <c r="R2028" s="4">
        <f t="shared" si="99"/>
        <v>22</v>
      </c>
      <c r="S2028" s="4" t="str">
        <f t="shared" si="100"/>
        <v>重庆市</v>
      </c>
    </row>
    <row r="2029" spans="14:19">
      <c r="N2029" s="4">
        <v>2028</v>
      </c>
      <c r="O2029" s="4" t="s">
        <v>2894</v>
      </c>
      <c r="P2029" s="4">
        <v>234</v>
      </c>
      <c r="Q2029" s="4" t="str">
        <f t="shared" si="101"/>
        <v>重庆市</v>
      </c>
      <c r="R2029" s="4">
        <f t="shared" si="99"/>
        <v>22</v>
      </c>
      <c r="S2029" s="4" t="str">
        <f t="shared" si="100"/>
        <v>重庆市</v>
      </c>
    </row>
    <row r="2030" spans="14:19">
      <c r="N2030" s="4">
        <v>2029</v>
      </c>
      <c r="O2030" s="4" t="s">
        <v>2895</v>
      </c>
      <c r="P2030" s="4">
        <v>234</v>
      </c>
      <c r="Q2030" s="4" t="str">
        <f t="shared" si="101"/>
        <v>重庆市</v>
      </c>
      <c r="R2030" s="4">
        <f t="shared" si="99"/>
        <v>22</v>
      </c>
      <c r="S2030" s="4" t="str">
        <f t="shared" si="100"/>
        <v>重庆市</v>
      </c>
    </row>
    <row r="2031" spans="14:19">
      <c r="N2031" s="4">
        <v>2030</v>
      </c>
      <c r="O2031" s="4" t="s">
        <v>2896</v>
      </c>
      <c r="P2031" s="4">
        <v>234</v>
      </c>
      <c r="Q2031" s="4" t="str">
        <f t="shared" si="101"/>
        <v>重庆市</v>
      </c>
      <c r="R2031" s="4">
        <f t="shared" si="99"/>
        <v>22</v>
      </c>
      <c r="S2031" s="4" t="str">
        <f t="shared" si="100"/>
        <v>重庆市</v>
      </c>
    </row>
    <row r="2032" spans="14:19">
      <c r="N2032" s="4">
        <v>2031</v>
      </c>
      <c r="O2032" s="4" t="s">
        <v>2897</v>
      </c>
      <c r="P2032" s="4">
        <v>234</v>
      </c>
      <c r="Q2032" s="4" t="str">
        <f t="shared" si="101"/>
        <v>重庆市</v>
      </c>
      <c r="R2032" s="4">
        <f t="shared" si="99"/>
        <v>22</v>
      </c>
      <c r="S2032" s="4" t="str">
        <f t="shared" si="100"/>
        <v>重庆市</v>
      </c>
    </row>
    <row r="2033" spans="14:19">
      <c r="N2033" s="4">
        <v>2032</v>
      </c>
      <c r="O2033" s="4" t="s">
        <v>2898</v>
      </c>
      <c r="P2033" s="4">
        <v>234</v>
      </c>
      <c r="Q2033" s="4" t="str">
        <f t="shared" si="101"/>
        <v>重庆市</v>
      </c>
      <c r="R2033" s="4">
        <f t="shared" si="99"/>
        <v>22</v>
      </c>
      <c r="S2033" s="4" t="str">
        <f t="shared" si="100"/>
        <v>重庆市</v>
      </c>
    </row>
    <row r="2034" spans="14:19">
      <c r="N2034" s="4">
        <v>2033</v>
      </c>
      <c r="O2034" s="4" t="s">
        <v>2899</v>
      </c>
      <c r="P2034" s="4">
        <v>234</v>
      </c>
      <c r="Q2034" s="4" t="str">
        <f t="shared" si="101"/>
        <v>重庆市</v>
      </c>
      <c r="R2034" s="4">
        <f t="shared" si="99"/>
        <v>22</v>
      </c>
      <c r="S2034" s="4" t="str">
        <f t="shared" si="100"/>
        <v>重庆市</v>
      </c>
    </row>
    <row r="2035" spans="14:19">
      <c r="N2035" s="4">
        <v>2034</v>
      </c>
      <c r="O2035" s="4" t="s">
        <v>2900</v>
      </c>
      <c r="P2035" s="4">
        <v>234</v>
      </c>
      <c r="Q2035" s="4" t="str">
        <f t="shared" si="101"/>
        <v>重庆市</v>
      </c>
      <c r="R2035" s="4">
        <f t="shared" si="99"/>
        <v>22</v>
      </c>
      <c r="S2035" s="4" t="str">
        <f t="shared" si="100"/>
        <v>重庆市</v>
      </c>
    </row>
    <row r="2036" spans="14:19">
      <c r="N2036" s="4">
        <v>2035</v>
      </c>
      <c r="O2036" s="4" t="s">
        <v>2901</v>
      </c>
      <c r="P2036" s="4">
        <v>234</v>
      </c>
      <c r="Q2036" s="4" t="str">
        <f t="shared" si="101"/>
        <v>重庆市</v>
      </c>
      <c r="R2036" s="4">
        <f t="shared" si="99"/>
        <v>22</v>
      </c>
      <c r="S2036" s="4" t="str">
        <f t="shared" si="100"/>
        <v>重庆市</v>
      </c>
    </row>
    <row r="2037" spans="14:19">
      <c r="N2037" s="4">
        <v>2036</v>
      </c>
      <c r="O2037" s="4" t="s">
        <v>2902</v>
      </c>
      <c r="P2037" s="4">
        <v>234</v>
      </c>
      <c r="Q2037" s="4" t="str">
        <f t="shared" si="101"/>
        <v>重庆市</v>
      </c>
      <c r="R2037" s="4">
        <f t="shared" si="99"/>
        <v>22</v>
      </c>
      <c r="S2037" s="4" t="str">
        <f t="shared" si="100"/>
        <v>重庆市</v>
      </c>
    </row>
    <row r="2038" spans="14:19">
      <c r="N2038" s="4">
        <v>2037</v>
      </c>
      <c r="O2038" s="4" t="s">
        <v>2903</v>
      </c>
      <c r="P2038" s="4">
        <v>234</v>
      </c>
      <c r="Q2038" s="4" t="str">
        <f t="shared" si="101"/>
        <v>重庆市</v>
      </c>
      <c r="R2038" s="4">
        <f t="shared" si="99"/>
        <v>22</v>
      </c>
      <c r="S2038" s="4" t="str">
        <f t="shared" si="100"/>
        <v>重庆市</v>
      </c>
    </row>
    <row r="2039" spans="14:19">
      <c r="N2039" s="4">
        <v>2038</v>
      </c>
      <c r="O2039" s="4" t="s">
        <v>2904</v>
      </c>
      <c r="P2039" s="4">
        <v>234</v>
      </c>
      <c r="Q2039" s="4" t="str">
        <f t="shared" si="101"/>
        <v>重庆市</v>
      </c>
      <c r="R2039" s="4">
        <f t="shared" si="99"/>
        <v>22</v>
      </c>
      <c r="S2039" s="4" t="str">
        <f t="shared" si="100"/>
        <v>重庆市</v>
      </c>
    </row>
    <row r="2040" spans="14:19">
      <c r="N2040" s="4">
        <v>2039</v>
      </c>
      <c r="O2040" s="4" t="s">
        <v>2905</v>
      </c>
      <c r="P2040" s="4">
        <v>234</v>
      </c>
      <c r="Q2040" s="4" t="str">
        <f t="shared" si="101"/>
        <v>重庆市</v>
      </c>
      <c r="R2040" s="4">
        <f t="shared" si="99"/>
        <v>22</v>
      </c>
      <c r="S2040" s="4" t="str">
        <f t="shared" si="100"/>
        <v>重庆市</v>
      </c>
    </row>
    <row r="2041" spans="14:19">
      <c r="N2041" s="4">
        <v>2040</v>
      </c>
      <c r="O2041" s="4" t="s">
        <v>2906</v>
      </c>
      <c r="P2041" s="4">
        <v>235</v>
      </c>
      <c r="Q2041" s="4" t="str">
        <f t="shared" si="101"/>
        <v>成都市</v>
      </c>
      <c r="R2041" s="4">
        <f t="shared" si="99"/>
        <v>23</v>
      </c>
      <c r="S2041" s="4" t="str">
        <f t="shared" si="100"/>
        <v>四川省</v>
      </c>
    </row>
    <row r="2042" spans="14:19">
      <c r="N2042" s="4">
        <v>2041</v>
      </c>
      <c r="O2042" s="4" t="s">
        <v>2907</v>
      </c>
      <c r="P2042" s="4">
        <v>235</v>
      </c>
      <c r="Q2042" s="4" t="str">
        <f t="shared" si="101"/>
        <v>成都市</v>
      </c>
      <c r="R2042" s="4">
        <f t="shared" si="99"/>
        <v>23</v>
      </c>
      <c r="S2042" s="4" t="str">
        <f t="shared" si="100"/>
        <v>四川省</v>
      </c>
    </row>
    <row r="2043" spans="14:19">
      <c r="N2043" s="4">
        <v>2042</v>
      </c>
      <c r="O2043" s="4" t="s">
        <v>2908</v>
      </c>
      <c r="P2043" s="4">
        <v>235</v>
      </c>
      <c r="Q2043" s="4" t="str">
        <f t="shared" si="101"/>
        <v>成都市</v>
      </c>
      <c r="R2043" s="4">
        <f t="shared" si="99"/>
        <v>23</v>
      </c>
      <c r="S2043" s="4" t="str">
        <f t="shared" si="100"/>
        <v>四川省</v>
      </c>
    </row>
    <row r="2044" spans="14:19">
      <c r="N2044" s="4">
        <v>2043</v>
      </c>
      <c r="O2044" s="4" t="s">
        <v>2909</v>
      </c>
      <c r="P2044" s="4">
        <v>235</v>
      </c>
      <c r="Q2044" s="4" t="str">
        <f t="shared" si="101"/>
        <v>成都市</v>
      </c>
      <c r="R2044" s="4">
        <f t="shared" si="99"/>
        <v>23</v>
      </c>
      <c r="S2044" s="4" t="str">
        <f t="shared" si="100"/>
        <v>四川省</v>
      </c>
    </row>
    <row r="2045" spans="14:19">
      <c r="N2045" s="4">
        <v>2044</v>
      </c>
      <c r="O2045" s="4" t="s">
        <v>2910</v>
      </c>
      <c r="P2045" s="4">
        <v>235</v>
      </c>
      <c r="Q2045" s="4" t="str">
        <f t="shared" si="101"/>
        <v>成都市</v>
      </c>
      <c r="R2045" s="4">
        <f t="shared" si="99"/>
        <v>23</v>
      </c>
      <c r="S2045" s="4" t="str">
        <f t="shared" si="100"/>
        <v>四川省</v>
      </c>
    </row>
    <row r="2046" spans="14:19">
      <c r="N2046" s="4">
        <v>2045</v>
      </c>
      <c r="O2046" s="4" t="s">
        <v>2911</v>
      </c>
      <c r="P2046" s="4">
        <v>235</v>
      </c>
      <c r="Q2046" s="4" t="str">
        <f t="shared" si="101"/>
        <v>成都市</v>
      </c>
      <c r="R2046" s="4">
        <f t="shared" si="99"/>
        <v>23</v>
      </c>
      <c r="S2046" s="4" t="str">
        <f t="shared" si="100"/>
        <v>四川省</v>
      </c>
    </row>
    <row r="2047" spans="14:19">
      <c r="N2047" s="4">
        <v>2046</v>
      </c>
      <c r="O2047" s="4" t="s">
        <v>2912</v>
      </c>
      <c r="P2047" s="4">
        <v>235</v>
      </c>
      <c r="Q2047" s="4" t="str">
        <f t="shared" si="101"/>
        <v>成都市</v>
      </c>
      <c r="R2047" s="4">
        <f t="shared" si="99"/>
        <v>23</v>
      </c>
      <c r="S2047" s="4" t="str">
        <f t="shared" si="100"/>
        <v>四川省</v>
      </c>
    </row>
    <row r="2048" spans="14:19">
      <c r="N2048" s="4">
        <v>2047</v>
      </c>
      <c r="O2048" s="4" t="s">
        <v>2913</v>
      </c>
      <c r="P2048" s="4">
        <v>235</v>
      </c>
      <c r="Q2048" s="4" t="str">
        <f t="shared" si="101"/>
        <v>成都市</v>
      </c>
      <c r="R2048" s="4">
        <f t="shared" si="99"/>
        <v>23</v>
      </c>
      <c r="S2048" s="4" t="str">
        <f t="shared" si="100"/>
        <v>四川省</v>
      </c>
    </row>
    <row r="2049" spans="14:19">
      <c r="N2049" s="4">
        <v>2048</v>
      </c>
      <c r="O2049" s="4" t="s">
        <v>2914</v>
      </c>
      <c r="P2049" s="4">
        <v>235</v>
      </c>
      <c r="Q2049" s="4" t="str">
        <f t="shared" si="101"/>
        <v>成都市</v>
      </c>
      <c r="R2049" s="4">
        <f t="shared" si="99"/>
        <v>23</v>
      </c>
      <c r="S2049" s="4" t="str">
        <f t="shared" si="100"/>
        <v>四川省</v>
      </c>
    </row>
    <row r="2050" spans="14:19">
      <c r="N2050" s="4">
        <v>2049</v>
      </c>
      <c r="O2050" s="4" t="s">
        <v>2915</v>
      </c>
      <c r="P2050" s="4">
        <v>235</v>
      </c>
      <c r="Q2050" s="4" t="str">
        <f t="shared" si="101"/>
        <v>成都市</v>
      </c>
      <c r="R2050" s="4">
        <f t="shared" ref="R2050:R2113" si="102">VLOOKUP(P2050,$I$2:$M$346,3,FALSE)</f>
        <v>23</v>
      </c>
      <c r="S2050" s="4" t="str">
        <f t="shared" ref="S2050:S2113" si="103">VLOOKUP(P2050,$I$2:$M$346,4,FALSE)</f>
        <v>四川省</v>
      </c>
    </row>
    <row r="2051" spans="14:19">
      <c r="N2051" s="4">
        <v>2050</v>
      </c>
      <c r="O2051" s="4" t="s">
        <v>20</v>
      </c>
      <c r="P2051" s="4">
        <v>235</v>
      </c>
      <c r="Q2051" s="4" t="str">
        <f t="shared" ref="Q2051:Q2114" si="104">VLOOKUP(P2051,$I$2:$J$346,2,FALSE)</f>
        <v>成都市</v>
      </c>
      <c r="R2051" s="4">
        <f t="shared" si="102"/>
        <v>23</v>
      </c>
      <c r="S2051" s="4" t="str">
        <f t="shared" si="103"/>
        <v>四川省</v>
      </c>
    </row>
    <row r="2052" spans="14:19">
      <c r="N2052" s="4">
        <v>2051</v>
      </c>
      <c r="O2052" s="4" t="s">
        <v>2916</v>
      </c>
      <c r="P2052" s="4">
        <v>235</v>
      </c>
      <c r="Q2052" s="4" t="str">
        <f t="shared" si="104"/>
        <v>成都市</v>
      </c>
      <c r="R2052" s="4">
        <f t="shared" si="102"/>
        <v>23</v>
      </c>
      <c r="S2052" s="4" t="str">
        <f t="shared" si="103"/>
        <v>四川省</v>
      </c>
    </row>
    <row r="2053" spans="14:19">
      <c r="N2053" s="4">
        <v>2052</v>
      </c>
      <c r="O2053" s="4" t="s">
        <v>2917</v>
      </c>
      <c r="P2053" s="4">
        <v>235</v>
      </c>
      <c r="Q2053" s="4" t="str">
        <f t="shared" si="104"/>
        <v>成都市</v>
      </c>
      <c r="R2053" s="4">
        <f t="shared" si="102"/>
        <v>23</v>
      </c>
      <c r="S2053" s="4" t="str">
        <f t="shared" si="103"/>
        <v>四川省</v>
      </c>
    </row>
    <row r="2054" spans="14:19">
      <c r="N2054" s="4">
        <v>2053</v>
      </c>
      <c r="O2054" s="4" t="s">
        <v>2918</v>
      </c>
      <c r="P2054" s="4">
        <v>235</v>
      </c>
      <c r="Q2054" s="4" t="str">
        <f t="shared" si="104"/>
        <v>成都市</v>
      </c>
      <c r="R2054" s="4">
        <f t="shared" si="102"/>
        <v>23</v>
      </c>
      <c r="S2054" s="4" t="str">
        <f t="shared" si="103"/>
        <v>四川省</v>
      </c>
    </row>
    <row r="2055" spans="14:19">
      <c r="N2055" s="4">
        <v>2054</v>
      </c>
      <c r="O2055" s="4" t="s">
        <v>2919</v>
      </c>
      <c r="P2055" s="4">
        <v>235</v>
      </c>
      <c r="Q2055" s="4" t="str">
        <f t="shared" si="104"/>
        <v>成都市</v>
      </c>
      <c r="R2055" s="4">
        <f t="shared" si="102"/>
        <v>23</v>
      </c>
      <c r="S2055" s="4" t="str">
        <f t="shared" si="103"/>
        <v>四川省</v>
      </c>
    </row>
    <row r="2056" spans="14:19">
      <c r="N2056" s="4">
        <v>2055</v>
      </c>
      <c r="O2056" s="4" t="s">
        <v>2920</v>
      </c>
      <c r="P2056" s="4">
        <v>235</v>
      </c>
      <c r="Q2056" s="4" t="str">
        <f t="shared" si="104"/>
        <v>成都市</v>
      </c>
      <c r="R2056" s="4">
        <f t="shared" si="102"/>
        <v>23</v>
      </c>
      <c r="S2056" s="4" t="str">
        <f t="shared" si="103"/>
        <v>四川省</v>
      </c>
    </row>
    <row r="2057" spans="14:19">
      <c r="N2057" s="4">
        <v>2056</v>
      </c>
      <c r="O2057" s="4" t="s">
        <v>2921</v>
      </c>
      <c r="P2057" s="4">
        <v>235</v>
      </c>
      <c r="Q2057" s="4" t="str">
        <f t="shared" si="104"/>
        <v>成都市</v>
      </c>
      <c r="R2057" s="4">
        <f t="shared" si="102"/>
        <v>23</v>
      </c>
      <c r="S2057" s="4" t="str">
        <f t="shared" si="103"/>
        <v>四川省</v>
      </c>
    </row>
    <row r="2058" spans="14:19">
      <c r="N2058" s="4">
        <v>2057</v>
      </c>
      <c r="O2058" s="4" t="s">
        <v>2922</v>
      </c>
      <c r="P2058" s="4">
        <v>235</v>
      </c>
      <c r="Q2058" s="4" t="str">
        <f t="shared" si="104"/>
        <v>成都市</v>
      </c>
      <c r="R2058" s="4">
        <f t="shared" si="102"/>
        <v>23</v>
      </c>
      <c r="S2058" s="4" t="str">
        <f t="shared" si="103"/>
        <v>四川省</v>
      </c>
    </row>
    <row r="2059" spans="14:19">
      <c r="N2059" s="4">
        <v>2058</v>
      </c>
      <c r="O2059" s="4" t="s">
        <v>2923</v>
      </c>
      <c r="P2059" s="4">
        <v>235</v>
      </c>
      <c r="Q2059" s="4" t="str">
        <f t="shared" si="104"/>
        <v>成都市</v>
      </c>
      <c r="R2059" s="4">
        <f t="shared" si="102"/>
        <v>23</v>
      </c>
      <c r="S2059" s="4" t="str">
        <f t="shared" si="103"/>
        <v>四川省</v>
      </c>
    </row>
    <row r="2060" spans="14:19">
      <c r="N2060" s="4">
        <v>2059</v>
      </c>
      <c r="O2060" s="4" t="s">
        <v>2924</v>
      </c>
      <c r="P2060" s="4">
        <v>236</v>
      </c>
      <c r="Q2060" s="4" t="str">
        <f t="shared" si="104"/>
        <v>自贡市</v>
      </c>
      <c r="R2060" s="4">
        <f t="shared" si="102"/>
        <v>23</v>
      </c>
      <c r="S2060" s="4" t="str">
        <f t="shared" si="103"/>
        <v>四川省</v>
      </c>
    </row>
    <row r="2061" spans="14:19">
      <c r="N2061" s="4">
        <v>2060</v>
      </c>
      <c r="O2061" s="4" t="s">
        <v>2925</v>
      </c>
      <c r="P2061" s="4">
        <v>236</v>
      </c>
      <c r="Q2061" s="4" t="str">
        <f t="shared" si="104"/>
        <v>自贡市</v>
      </c>
      <c r="R2061" s="4">
        <f t="shared" si="102"/>
        <v>23</v>
      </c>
      <c r="S2061" s="4" t="str">
        <f t="shared" si="103"/>
        <v>四川省</v>
      </c>
    </row>
    <row r="2062" spans="14:19">
      <c r="N2062" s="4">
        <v>2061</v>
      </c>
      <c r="O2062" s="4" t="s">
        <v>2926</v>
      </c>
      <c r="P2062" s="4">
        <v>236</v>
      </c>
      <c r="Q2062" s="4" t="str">
        <f t="shared" si="104"/>
        <v>自贡市</v>
      </c>
      <c r="R2062" s="4">
        <f t="shared" si="102"/>
        <v>23</v>
      </c>
      <c r="S2062" s="4" t="str">
        <f t="shared" si="103"/>
        <v>四川省</v>
      </c>
    </row>
    <row r="2063" spans="14:19">
      <c r="N2063" s="4">
        <v>2062</v>
      </c>
      <c r="O2063" s="4" t="s">
        <v>2927</v>
      </c>
      <c r="P2063" s="4">
        <v>236</v>
      </c>
      <c r="Q2063" s="4" t="str">
        <f t="shared" si="104"/>
        <v>自贡市</v>
      </c>
      <c r="R2063" s="4">
        <f t="shared" si="102"/>
        <v>23</v>
      </c>
      <c r="S2063" s="4" t="str">
        <f t="shared" si="103"/>
        <v>四川省</v>
      </c>
    </row>
    <row r="2064" spans="14:19">
      <c r="N2064" s="4">
        <v>2063</v>
      </c>
      <c r="O2064" s="4" t="s">
        <v>2928</v>
      </c>
      <c r="P2064" s="4">
        <v>236</v>
      </c>
      <c r="Q2064" s="4" t="str">
        <f t="shared" si="104"/>
        <v>自贡市</v>
      </c>
      <c r="R2064" s="4">
        <f t="shared" si="102"/>
        <v>23</v>
      </c>
      <c r="S2064" s="4" t="str">
        <f t="shared" si="103"/>
        <v>四川省</v>
      </c>
    </row>
    <row r="2065" spans="14:19">
      <c r="N2065" s="4">
        <v>2064</v>
      </c>
      <c r="O2065" s="4" t="s">
        <v>2929</v>
      </c>
      <c r="P2065" s="4">
        <v>236</v>
      </c>
      <c r="Q2065" s="4" t="str">
        <f t="shared" si="104"/>
        <v>自贡市</v>
      </c>
      <c r="R2065" s="4">
        <f t="shared" si="102"/>
        <v>23</v>
      </c>
      <c r="S2065" s="4" t="str">
        <f t="shared" si="103"/>
        <v>四川省</v>
      </c>
    </row>
    <row r="2066" spans="14:19">
      <c r="N2066" s="4">
        <v>2065</v>
      </c>
      <c r="O2066" s="4" t="s">
        <v>2930</v>
      </c>
      <c r="P2066" s="4">
        <v>237</v>
      </c>
      <c r="Q2066" s="4" t="str">
        <f t="shared" si="104"/>
        <v>攀枝花市</v>
      </c>
      <c r="R2066" s="4">
        <f t="shared" si="102"/>
        <v>23</v>
      </c>
      <c r="S2066" s="4" t="str">
        <f t="shared" si="103"/>
        <v>四川省</v>
      </c>
    </row>
    <row r="2067" spans="14:19">
      <c r="N2067" s="4">
        <v>2066</v>
      </c>
      <c r="O2067" s="4" t="s">
        <v>2931</v>
      </c>
      <c r="P2067" s="4">
        <v>237</v>
      </c>
      <c r="Q2067" s="4" t="str">
        <f t="shared" si="104"/>
        <v>攀枝花市</v>
      </c>
      <c r="R2067" s="4">
        <f t="shared" si="102"/>
        <v>23</v>
      </c>
      <c r="S2067" s="4" t="str">
        <f t="shared" si="103"/>
        <v>四川省</v>
      </c>
    </row>
    <row r="2068" spans="14:19">
      <c r="N2068" s="4">
        <v>2067</v>
      </c>
      <c r="O2068" s="4" t="s">
        <v>2932</v>
      </c>
      <c r="P2068" s="4">
        <v>237</v>
      </c>
      <c r="Q2068" s="4" t="str">
        <f t="shared" si="104"/>
        <v>攀枝花市</v>
      </c>
      <c r="R2068" s="4">
        <f t="shared" si="102"/>
        <v>23</v>
      </c>
      <c r="S2068" s="4" t="str">
        <f t="shared" si="103"/>
        <v>四川省</v>
      </c>
    </row>
    <row r="2069" spans="14:19">
      <c r="N2069" s="4">
        <v>2068</v>
      </c>
      <c r="O2069" s="4" t="s">
        <v>2933</v>
      </c>
      <c r="P2069" s="4">
        <v>237</v>
      </c>
      <c r="Q2069" s="4" t="str">
        <f t="shared" si="104"/>
        <v>攀枝花市</v>
      </c>
      <c r="R2069" s="4">
        <f t="shared" si="102"/>
        <v>23</v>
      </c>
      <c r="S2069" s="4" t="str">
        <f t="shared" si="103"/>
        <v>四川省</v>
      </c>
    </row>
    <row r="2070" spans="14:19">
      <c r="N2070" s="4">
        <v>2069</v>
      </c>
      <c r="O2070" s="4" t="s">
        <v>2934</v>
      </c>
      <c r="P2070" s="4">
        <v>237</v>
      </c>
      <c r="Q2070" s="4" t="str">
        <f t="shared" si="104"/>
        <v>攀枝花市</v>
      </c>
      <c r="R2070" s="4">
        <f t="shared" si="102"/>
        <v>23</v>
      </c>
      <c r="S2070" s="4" t="str">
        <f t="shared" si="103"/>
        <v>四川省</v>
      </c>
    </row>
    <row r="2071" spans="14:19">
      <c r="N2071" s="4">
        <v>2070</v>
      </c>
      <c r="O2071" s="4" t="s">
        <v>2935</v>
      </c>
      <c r="P2071" s="4">
        <v>238</v>
      </c>
      <c r="Q2071" s="4" t="str">
        <f t="shared" si="104"/>
        <v>泸州市</v>
      </c>
      <c r="R2071" s="4">
        <f t="shared" si="102"/>
        <v>23</v>
      </c>
      <c r="S2071" s="4" t="str">
        <f t="shared" si="103"/>
        <v>四川省</v>
      </c>
    </row>
    <row r="2072" spans="14:19">
      <c r="N2072" s="4">
        <v>2071</v>
      </c>
      <c r="O2072" s="4" t="s">
        <v>2936</v>
      </c>
      <c r="P2072" s="4">
        <v>238</v>
      </c>
      <c r="Q2072" s="4" t="str">
        <f t="shared" si="104"/>
        <v>泸州市</v>
      </c>
      <c r="R2072" s="4">
        <f t="shared" si="102"/>
        <v>23</v>
      </c>
      <c r="S2072" s="4" t="str">
        <f t="shared" si="103"/>
        <v>四川省</v>
      </c>
    </row>
    <row r="2073" spans="14:19">
      <c r="N2073" s="4">
        <v>2072</v>
      </c>
      <c r="O2073" s="4" t="s">
        <v>2937</v>
      </c>
      <c r="P2073" s="4">
        <v>238</v>
      </c>
      <c r="Q2073" s="4" t="str">
        <f t="shared" si="104"/>
        <v>泸州市</v>
      </c>
      <c r="R2073" s="4">
        <f t="shared" si="102"/>
        <v>23</v>
      </c>
      <c r="S2073" s="4" t="str">
        <f t="shared" si="103"/>
        <v>四川省</v>
      </c>
    </row>
    <row r="2074" spans="14:19">
      <c r="N2074" s="4">
        <v>2073</v>
      </c>
      <c r="O2074" s="4" t="s">
        <v>2938</v>
      </c>
      <c r="P2074" s="4">
        <v>238</v>
      </c>
      <c r="Q2074" s="4" t="str">
        <f t="shared" si="104"/>
        <v>泸州市</v>
      </c>
      <c r="R2074" s="4">
        <f t="shared" si="102"/>
        <v>23</v>
      </c>
      <c r="S2074" s="4" t="str">
        <f t="shared" si="103"/>
        <v>四川省</v>
      </c>
    </row>
    <row r="2075" spans="14:19">
      <c r="N2075" s="4">
        <v>2074</v>
      </c>
      <c r="O2075" s="4" t="s">
        <v>2939</v>
      </c>
      <c r="P2075" s="4">
        <v>238</v>
      </c>
      <c r="Q2075" s="4" t="str">
        <f t="shared" si="104"/>
        <v>泸州市</v>
      </c>
      <c r="R2075" s="4">
        <f t="shared" si="102"/>
        <v>23</v>
      </c>
      <c r="S2075" s="4" t="str">
        <f t="shared" si="103"/>
        <v>四川省</v>
      </c>
    </row>
    <row r="2076" spans="14:19">
      <c r="N2076" s="4">
        <v>2075</v>
      </c>
      <c r="O2076" s="4" t="s">
        <v>2940</v>
      </c>
      <c r="P2076" s="4">
        <v>238</v>
      </c>
      <c r="Q2076" s="4" t="str">
        <f t="shared" si="104"/>
        <v>泸州市</v>
      </c>
      <c r="R2076" s="4">
        <f t="shared" si="102"/>
        <v>23</v>
      </c>
      <c r="S2076" s="4" t="str">
        <f t="shared" si="103"/>
        <v>四川省</v>
      </c>
    </row>
    <row r="2077" spans="14:19">
      <c r="N2077" s="4">
        <v>2076</v>
      </c>
      <c r="O2077" s="4" t="s">
        <v>2941</v>
      </c>
      <c r="P2077" s="4">
        <v>238</v>
      </c>
      <c r="Q2077" s="4" t="str">
        <f t="shared" si="104"/>
        <v>泸州市</v>
      </c>
      <c r="R2077" s="4">
        <f t="shared" si="102"/>
        <v>23</v>
      </c>
      <c r="S2077" s="4" t="str">
        <f t="shared" si="103"/>
        <v>四川省</v>
      </c>
    </row>
    <row r="2078" spans="14:19">
      <c r="N2078" s="4">
        <v>2077</v>
      </c>
      <c r="O2078" s="4" t="s">
        <v>2942</v>
      </c>
      <c r="P2078" s="4">
        <v>239</v>
      </c>
      <c r="Q2078" s="4" t="str">
        <f t="shared" si="104"/>
        <v>德阳市</v>
      </c>
      <c r="R2078" s="4">
        <f t="shared" si="102"/>
        <v>23</v>
      </c>
      <c r="S2078" s="4" t="str">
        <f t="shared" si="103"/>
        <v>四川省</v>
      </c>
    </row>
    <row r="2079" spans="14:19">
      <c r="N2079" s="4">
        <v>2078</v>
      </c>
      <c r="O2079" s="4" t="s">
        <v>2943</v>
      </c>
      <c r="P2079" s="4">
        <v>239</v>
      </c>
      <c r="Q2079" s="4" t="str">
        <f t="shared" si="104"/>
        <v>德阳市</v>
      </c>
      <c r="R2079" s="4">
        <f t="shared" si="102"/>
        <v>23</v>
      </c>
      <c r="S2079" s="4" t="str">
        <f t="shared" si="103"/>
        <v>四川省</v>
      </c>
    </row>
    <row r="2080" spans="14:19">
      <c r="N2080" s="4">
        <v>2079</v>
      </c>
      <c r="O2080" s="4" t="s">
        <v>2944</v>
      </c>
      <c r="P2080" s="4">
        <v>239</v>
      </c>
      <c r="Q2080" s="4" t="str">
        <f t="shared" si="104"/>
        <v>德阳市</v>
      </c>
      <c r="R2080" s="4">
        <f t="shared" si="102"/>
        <v>23</v>
      </c>
      <c r="S2080" s="4" t="str">
        <f t="shared" si="103"/>
        <v>四川省</v>
      </c>
    </row>
    <row r="2081" spans="14:19">
      <c r="N2081" s="4">
        <v>2080</v>
      </c>
      <c r="O2081" s="4" t="s">
        <v>2945</v>
      </c>
      <c r="P2081" s="4">
        <v>239</v>
      </c>
      <c r="Q2081" s="4" t="str">
        <f t="shared" si="104"/>
        <v>德阳市</v>
      </c>
      <c r="R2081" s="4">
        <f t="shared" si="102"/>
        <v>23</v>
      </c>
      <c r="S2081" s="4" t="str">
        <f t="shared" si="103"/>
        <v>四川省</v>
      </c>
    </row>
    <row r="2082" spans="14:19">
      <c r="N2082" s="4">
        <v>2081</v>
      </c>
      <c r="O2082" s="4" t="s">
        <v>2946</v>
      </c>
      <c r="P2082" s="4">
        <v>239</v>
      </c>
      <c r="Q2082" s="4" t="str">
        <f t="shared" si="104"/>
        <v>德阳市</v>
      </c>
      <c r="R2082" s="4">
        <f t="shared" si="102"/>
        <v>23</v>
      </c>
      <c r="S2082" s="4" t="str">
        <f t="shared" si="103"/>
        <v>四川省</v>
      </c>
    </row>
    <row r="2083" spans="14:19">
      <c r="N2083" s="4">
        <v>2082</v>
      </c>
      <c r="O2083" s="4" t="s">
        <v>2947</v>
      </c>
      <c r="P2083" s="4">
        <v>239</v>
      </c>
      <c r="Q2083" s="4" t="str">
        <f t="shared" si="104"/>
        <v>德阳市</v>
      </c>
      <c r="R2083" s="4">
        <f t="shared" si="102"/>
        <v>23</v>
      </c>
      <c r="S2083" s="4" t="str">
        <f t="shared" si="103"/>
        <v>四川省</v>
      </c>
    </row>
    <row r="2084" spans="14:19">
      <c r="N2084" s="4">
        <v>2083</v>
      </c>
      <c r="O2084" s="4" t="s">
        <v>2948</v>
      </c>
      <c r="P2084" s="4">
        <v>240</v>
      </c>
      <c r="Q2084" s="4" t="str">
        <f t="shared" si="104"/>
        <v>绵阳市</v>
      </c>
      <c r="R2084" s="4">
        <f t="shared" si="102"/>
        <v>23</v>
      </c>
      <c r="S2084" s="4" t="str">
        <f t="shared" si="103"/>
        <v>四川省</v>
      </c>
    </row>
    <row r="2085" spans="14:19">
      <c r="N2085" s="4">
        <v>2084</v>
      </c>
      <c r="O2085" s="4" t="s">
        <v>2949</v>
      </c>
      <c r="P2085" s="4">
        <v>240</v>
      </c>
      <c r="Q2085" s="4" t="str">
        <f t="shared" si="104"/>
        <v>绵阳市</v>
      </c>
      <c r="R2085" s="4">
        <f t="shared" si="102"/>
        <v>23</v>
      </c>
      <c r="S2085" s="4" t="str">
        <f t="shared" si="103"/>
        <v>四川省</v>
      </c>
    </row>
    <row r="2086" spans="14:19">
      <c r="N2086" s="4">
        <v>2085</v>
      </c>
      <c r="O2086" s="4" t="s">
        <v>2950</v>
      </c>
      <c r="P2086" s="4">
        <v>240</v>
      </c>
      <c r="Q2086" s="4" t="str">
        <f t="shared" si="104"/>
        <v>绵阳市</v>
      </c>
      <c r="R2086" s="4">
        <f t="shared" si="102"/>
        <v>23</v>
      </c>
      <c r="S2086" s="4" t="str">
        <f t="shared" si="103"/>
        <v>四川省</v>
      </c>
    </row>
    <row r="2087" spans="14:19">
      <c r="N2087" s="4">
        <v>2086</v>
      </c>
      <c r="O2087" s="4" t="s">
        <v>2951</v>
      </c>
      <c r="P2087" s="4">
        <v>240</v>
      </c>
      <c r="Q2087" s="4" t="str">
        <f t="shared" si="104"/>
        <v>绵阳市</v>
      </c>
      <c r="R2087" s="4">
        <f t="shared" si="102"/>
        <v>23</v>
      </c>
      <c r="S2087" s="4" t="str">
        <f t="shared" si="103"/>
        <v>四川省</v>
      </c>
    </row>
    <row r="2088" spans="14:19">
      <c r="N2088" s="4">
        <v>2087</v>
      </c>
      <c r="O2088" s="4" t="s">
        <v>2952</v>
      </c>
      <c r="P2088" s="4">
        <v>240</v>
      </c>
      <c r="Q2088" s="4" t="str">
        <f t="shared" si="104"/>
        <v>绵阳市</v>
      </c>
      <c r="R2088" s="4">
        <f t="shared" si="102"/>
        <v>23</v>
      </c>
      <c r="S2088" s="4" t="str">
        <f t="shared" si="103"/>
        <v>四川省</v>
      </c>
    </row>
    <row r="2089" spans="14:19">
      <c r="N2089" s="4">
        <v>2088</v>
      </c>
      <c r="O2089" s="4" t="s">
        <v>2953</v>
      </c>
      <c r="P2089" s="4">
        <v>240</v>
      </c>
      <c r="Q2089" s="4" t="str">
        <f t="shared" si="104"/>
        <v>绵阳市</v>
      </c>
      <c r="R2089" s="4">
        <f t="shared" si="102"/>
        <v>23</v>
      </c>
      <c r="S2089" s="4" t="str">
        <f t="shared" si="103"/>
        <v>四川省</v>
      </c>
    </row>
    <row r="2090" spans="14:19">
      <c r="N2090" s="4">
        <v>2089</v>
      </c>
      <c r="O2090" s="4" t="s">
        <v>2954</v>
      </c>
      <c r="P2090" s="4">
        <v>240</v>
      </c>
      <c r="Q2090" s="4" t="str">
        <f t="shared" si="104"/>
        <v>绵阳市</v>
      </c>
      <c r="R2090" s="4">
        <f t="shared" si="102"/>
        <v>23</v>
      </c>
      <c r="S2090" s="4" t="str">
        <f t="shared" si="103"/>
        <v>四川省</v>
      </c>
    </row>
    <row r="2091" spans="14:19">
      <c r="N2091" s="4">
        <v>2090</v>
      </c>
      <c r="O2091" s="4" t="s">
        <v>2955</v>
      </c>
      <c r="P2091" s="4">
        <v>240</v>
      </c>
      <c r="Q2091" s="4" t="str">
        <f t="shared" si="104"/>
        <v>绵阳市</v>
      </c>
      <c r="R2091" s="4">
        <f t="shared" si="102"/>
        <v>23</v>
      </c>
      <c r="S2091" s="4" t="str">
        <f t="shared" si="103"/>
        <v>四川省</v>
      </c>
    </row>
    <row r="2092" spans="14:19">
      <c r="N2092" s="4">
        <v>2091</v>
      </c>
      <c r="O2092" s="4" t="s">
        <v>2956</v>
      </c>
      <c r="P2092" s="4">
        <v>240</v>
      </c>
      <c r="Q2092" s="4" t="str">
        <f t="shared" si="104"/>
        <v>绵阳市</v>
      </c>
      <c r="R2092" s="4">
        <f t="shared" si="102"/>
        <v>23</v>
      </c>
      <c r="S2092" s="4" t="str">
        <f t="shared" si="103"/>
        <v>四川省</v>
      </c>
    </row>
    <row r="2093" spans="14:19">
      <c r="N2093" s="4">
        <v>2092</v>
      </c>
      <c r="O2093" s="4" t="s">
        <v>2103</v>
      </c>
      <c r="P2093" s="4">
        <v>241</v>
      </c>
      <c r="Q2093" s="4" t="str">
        <f t="shared" si="104"/>
        <v>广元市</v>
      </c>
      <c r="R2093" s="4">
        <f t="shared" si="102"/>
        <v>23</v>
      </c>
      <c r="S2093" s="4" t="str">
        <f t="shared" si="103"/>
        <v>四川省</v>
      </c>
    </row>
    <row r="2094" spans="14:19">
      <c r="N2094" s="4">
        <v>2093</v>
      </c>
      <c r="O2094" s="4" t="s">
        <v>2957</v>
      </c>
      <c r="P2094" s="4">
        <v>241</v>
      </c>
      <c r="Q2094" s="4" t="str">
        <f t="shared" si="104"/>
        <v>广元市</v>
      </c>
      <c r="R2094" s="4">
        <f t="shared" si="102"/>
        <v>23</v>
      </c>
      <c r="S2094" s="4" t="str">
        <f t="shared" si="103"/>
        <v>四川省</v>
      </c>
    </row>
    <row r="2095" spans="14:19">
      <c r="N2095" s="4">
        <v>2094</v>
      </c>
      <c r="O2095" s="4" t="s">
        <v>2958</v>
      </c>
      <c r="P2095" s="4">
        <v>241</v>
      </c>
      <c r="Q2095" s="4" t="str">
        <f t="shared" si="104"/>
        <v>广元市</v>
      </c>
      <c r="R2095" s="4">
        <f t="shared" si="102"/>
        <v>23</v>
      </c>
      <c r="S2095" s="4" t="str">
        <f t="shared" si="103"/>
        <v>四川省</v>
      </c>
    </row>
    <row r="2096" spans="14:19">
      <c r="N2096" s="4">
        <v>2095</v>
      </c>
      <c r="O2096" s="4" t="s">
        <v>2959</v>
      </c>
      <c r="P2096" s="4">
        <v>241</v>
      </c>
      <c r="Q2096" s="4" t="str">
        <f t="shared" si="104"/>
        <v>广元市</v>
      </c>
      <c r="R2096" s="4">
        <f t="shared" si="102"/>
        <v>23</v>
      </c>
      <c r="S2096" s="4" t="str">
        <f t="shared" si="103"/>
        <v>四川省</v>
      </c>
    </row>
    <row r="2097" spans="14:19">
      <c r="N2097" s="4">
        <v>2096</v>
      </c>
      <c r="O2097" s="4" t="s">
        <v>2960</v>
      </c>
      <c r="P2097" s="4">
        <v>241</v>
      </c>
      <c r="Q2097" s="4" t="str">
        <f t="shared" si="104"/>
        <v>广元市</v>
      </c>
      <c r="R2097" s="4">
        <f t="shared" si="102"/>
        <v>23</v>
      </c>
      <c r="S2097" s="4" t="str">
        <f t="shared" si="103"/>
        <v>四川省</v>
      </c>
    </row>
    <row r="2098" spans="14:19">
      <c r="N2098" s="4">
        <v>2097</v>
      </c>
      <c r="O2098" s="4" t="s">
        <v>2961</v>
      </c>
      <c r="P2098" s="4">
        <v>241</v>
      </c>
      <c r="Q2098" s="4" t="str">
        <f t="shared" si="104"/>
        <v>广元市</v>
      </c>
      <c r="R2098" s="4">
        <f t="shared" si="102"/>
        <v>23</v>
      </c>
      <c r="S2098" s="4" t="str">
        <f t="shared" si="103"/>
        <v>四川省</v>
      </c>
    </row>
    <row r="2099" spans="14:19">
      <c r="N2099" s="4">
        <v>2098</v>
      </c>
      <c r="O2099" s="4" t="s">
        <v>2962</v>
      </c>
      <c r="P2099" s="4">
        <v>241</v>
      </c>
      <c r="Q2099" s="4" t="str">
        <f t="shared" si="104"/>
        <v>广元市</v>
      </c>
      <c r="R2099" s="4">
        <f t="shared" si="102"/>
        <v>23</v>
      </c>
      <c r="S2099" s="4" t="str">
        <f t="shared" si="103"/>
        <v>四川省</v>
      </c>
    </row>
    <row r="2100" spans="14:19">
      <c r="N2100" s="4">
        <v>2099</v>
      </c>
      <c r="O2100" s="4" t="s">
        <v>2963</v>
      </c>
      <c r="P2100" s="4">
        <v>242</v>
      </c>
      <c r="Q2100" s="4" t="str">
        <f t="shared" si="104"/>
        <v>遂宁市</v>
      </c>
      <c r="R2100" s="4">
        <f t="shared" si="102"/>
        <v>23</v>
      </c>
      <c r="S2100" s="4" t="str">
        <f t="shared" si="103"/>
        <v>四川省</v>
      </c>
    </row>
    <row r="2101" spans="14:19">
      <c r="N2101" s="4">
        <v>2100</v>
      </c>
      <c r="O2101" s="4" t="s">
        <v>2964</v>
      </c>
      <c r="P2101" s="4">
        <v>242</v>
      </c>
      <c r="Q2101" s="4" t="str">
        <f t="shared" si="104"/>
        <v>遂宁市</v>
      </c>
      <c r="R2101" s="4">
        <f t="shared" si="102"/>
        <v>23</v>
      </c>
      <c r="S2101" s="4" t="str">
        <f t="shared" si="103"/>
        <v>四川省</v>
      </c>
    </row>
    <row r="2102" spans="14:19">
      <c r="N2102" s="4">
        <v>2101</v>
      </c>
      <c r="O2102" s="4" t="s">
        <v>2965</v>
      </c>
      <c r="P2102" s="4">
        <v>242</v>
      </c>
      <c r="Q2102" s="4" t="str">
        <f t="shared" si="104"/>
        <v>遂宁市</v>
      </c>
      <c r="R2102" s="4">
        <f t="shared" si="102"/>
        <v>23</v>
      </c>
      <c r="S2102" s="4" t="str">
        <f t="shared" si="103"/>
        <v>四川省</v>
      </c>
    </row>
    <row r="2103" spans="14:19">
      <c r="N2103" s="4">
        <v>2102</v>
      </c>
      <c r="O2103" s="4" t="s">
        <v>2966</v>
      </c>
      <c r="P2103" s="4">
        <v>242</v>
      </c>
      <c r="Q2103" s="4" t="str">
        <f t="shared" si="104"/>
        <v>遂宁市</v>
      </c>
      <c r="R2103" s="4">
        <f t="shared" si="102"/>
        <v>23</v>
      </c>
      <c r="S2103" s="4" t="str">
        <f t="shared" si="103"/>
        <v>四川省</v>
      </c>
    </row>
    <row r="2104" spans="14:19">
      <c r="N2104" s="4">
        <v>2103</v>
      </c>
      <c r="O2104" s="4" t="s">
        <v>23</v>
      </c>
      <c r="P2104" s="4">
        <v>242</v>
      </c>
      <c r="Q2104" s="4" t="str">
        <f t="shared" si="104"/>
        <v>遂宁市</v>
      </c>
      <c r="R2104" s="4">
        <f t="shared" si="102"/>
        <v>23</v>
      </c>
      <c r="S2104" s="4" t="str">
        <f t="shared" si="103"/>
        <v>四川省</v>
      </c>
    </row>
    <row r="2105" spans="14:19">
      <c r="N2105" s="4">
        <v>2104</v>
      </c>
      <c r="O2105" s="4" t="s">
        <v>2103</v>
      </c>
      <c r="P2105" s="4">
        <v>243</v>
      </c>
      <c r="Q2105" s="4" t="str">
        <f t="shared" si="104"/>
        <v>内江市</v>
      </c>
      <c r="R2105" s="4">
        <f t="shared" si="102"/>
        <v>23</v>
      </c>
      <c r="S2105" s="4" t="str">
        <f t="shared" si="103"/>
        <v>四川省</v>
      </c>
    </row>
    <row r="2106" spans="14:19">
      <c r="N2106" s="4">
        <v>2105</v>
      </c>
      <c r="O2106" s="4" t="s">
        <v>2967</v>
      </c>
      <c r="P2106" s="4">
        <v>243</v>
      </c>
      <c r="Q2106" s="4" t="str">
        <f t="shared" si="104"/>
        <v>内江市</v>
      </c>
      <c r="R2106" s="4">
        <f t="shared" si="102"/>
        <v>23</v>
      </c>
      <c r="S2106" s="4" t="str">
        <f t="shared" si="103"/>
        <v>四川省</v>
      </c>
    </row>
    <row r="2107" spans="14:19">
      <c r="N2107" s="4">
        <v>2106</v>
      </c>
      <c r="O2107" s="4" t="s">
        <v>2968</v>
      </c>
      <c r="P2107" s="4">
        <v>243</v>
      </c>
      <c r="Q2107" s="4" t="str">
        <f t="shared" si="104"/>
        <v>内江市</v>
      </c>
      <c r="R2107" s="4">
        <f t="shared" si="102"/>
        <v>23</v>
      </c>
      <c r="S2107" s="4" t="str">
        <f t="shared" si="103"/>
        <v>四川省</v>
      </c>
    </row>
    <row r="2108" spans="14:19">
      <c r="N2108" s="4">
        <v>2107</v>
      </c>
      <c r="O2108" s="4" t="s">
        <v>2969</v>
      </c>
      <c r="P2108" s="4">
        <v>243</v>
      </c>
      <c r="Q2108" s="4" t="str">
        <f t="shared" si="104"/>
        <v>内江市</v>
      </c>
      <c r="R2108" s="4">
        <f t="shared" si="102"/>
        <v>23</v>
      </c>
      <c r="S2108" s="4" t="str">
        <f t="shared" si="103"/>
        <v>四川省</v>
      </c>
    </row>
    <row r="2109" spans="14:19">
      <c r="N2109" s="4">
        <v>2108</v>
      </c>
      <c r="O2109" s="4" t="s">
        <v>2970</v>
      </c>
      <c r="P2109" s="4">
        <v>243</v>
      </c>
      <c r="Q2109" s="4" t="str">
        <f t="shared" si="104"/>
        <v>内江市</v>
      </c>
      <c r="R2109" s="4">
        <f t="shared" si="102"/>
        <v>23</v>
      </c>
      <c r="S2109" s="4" t="str">
        <f t="shared" si="103"/>
        <v>四川省</v>
      </c>
    </row>
    <row r="2110" spans="14:19">
      <c r="N2110" s="4">
        <v>2109</v>
      </c>
      <c r="O2110" s="4" t="s">
        <v>2103</v>
      </c>
      <c r="P2110" s="4">
        <v>244</v>
      </c>
      <c r="Q2110" s="4" t="str">
        <f t="shared" si="104"/>
        <v>乐山市</v>
      </c>
      <c r="R2110" s="4">
        <f t="shared" si="102"/>
        <v>23</v>
      </c>
      <c r="S2110" s="4" t="str">
        <f t="shared" si="103"/>
        <v>四川省</v>
      </c>
    </row>
    <row r="2111" spans="14:19">
      <c r="N2111" s="4">
        <v>2110</v>
      </c>
      <c r="O2111" s="4" t="s">
        <v>2971</v>
      </c>
      <c r="P2111" s="4">
        <v>244</v>
      </c>
      <c r="Q2111" s="4" t="str">
        <f t="shared" si="104"/>
        <v>乐山市</v>
      </c>
      <c r="R2111" s="4">
        <f t="shared" si="102"/>
        <v>23</v>
      </c>
      <c r="S2111" s="4" t="str">
        <f t="shared" si="103"/>
        <v>四川省</v>
      </c>
    </row>
    <row r="2112" spans="14:19">
      <c r="N2112" s="4">
        <v>2111</v>
      </c>
      <c r="O2112" s="4" t="s">
        <v>2972</v>
      </c>
      <c r="P2112" s="4">
        <v>244</v>
      </c>
      <c r="Q2112" s="4" t="str">
        <f t="shared" si="104"/>
        <v>乐山市</v>
      </c>
      <c r="R2112" s="4">
        <f t="shared" si="102"/>
        <v>23</v>
      </c>
      <c r="S2112" s="4" t="str">
        <f t="shared" si="103"/>
        <v>四川省</v>
      </c>
    </row>
    <row r="2113" spans="14:19">
      <c r="N2113" s="4">
        <v>2112</v>
      </c>
      <c r="O2113" s="4" t="s">
        <v>2973</v>
      </c>
      <c r="P2113" s="4">
        <v>244</v>
      </c>
      <c r="Q2113" s="4" t="str">
        <f t="shared" si="104"/>
        <v>乐山市</v>
      </c>
      <c r="R2113" s="4">
        <f t="shared" si="102"/>
        <v>23</v>
      </c>
      <c r="S2113" s="4" t="str">
        <f t="shared" si="103"/>
        <v>四川省</v>
      </c>
    </row>
    <row r="2114" spans="14:19">
      <c r="N2114" s="4">
        <v>2113</v>
      </c>
      <c r="O2114" s="4" t="s">
        <v>2974</v>
      </c>
      <c r="P2114" s="4">
        <v>244</v>
      </c>
      <c r="Q2114" s="4" t="str">
        <f t="shared" si="104"/>
        <v>乐山市</v>
      </c>
      <c r="R2114" s="4">
        <f t="shared" ref="R2114:R2177" si="105">VLOOKUP(P2114,$I$2:$M$346,3,FALSE)</f>
        <v>23</v>
      </c>
      <c r="S2114" s="4" t="str">
        <f t="shared" ref="S2114:S2177" si="106">VLOOKUP(P2114,$I$2:$M$346,4,FALSE)</f>
        <v>四川省</v>
      </c>
    </row>
    <row r="2115" spans="14:19">
      <c r="N2115" s="4">
        <v>2114</v>
      </c>
      <c r="O2115" s="4" t="s">
        <v>2975</v>
      </c>
      <c r="P2115" s="4">
        <v>244</v>
      </c>
      <c r="Q2115" s="4" t="str">
        <f t="shared" ref="Q2115:Q2178" si="107">VLOOKUP(P2115,$I$2:$J$346,2,FALSE)</f>
        <v>乐山市</v>
      </c>
      <c r="R2115" s="4">
        <f t="shared" si="105"/>
        <v>23</v>
      </c>
      <c r="S2115" s="4" t="str">
        <f t="shared" si="106"/>
        <v>四川省</v>
      </c>
    </row>
    <row r="2116" spans="14:19">
      <c r="N2116" s="4">
        <v>2115</v>
      </c>
      <c r="O2116" s="4" t="s">
        <v>2976</v>
      </c>
      <c r="P2116" s="4">
        <v>244</v>
      </c>
      <c r="Q2116" s="4" t="str">
        <f t="shared" si="107"/>
        <v>乐山市</v>
      </c>
      <c r="R2116" s="4">
        <f t="shared" si="105"/>
        <v>23</v>
      </c>
      <c r="S2116" s="4" t="str">
        <f t="shared" si="106"/>
        <v>四川省</v>
      </c>
    </row>
    <row r="2117" spans="14:19">
      <c r="N2117" s="4">
        <v>2116</v>
      </c>
      <c r="O2117" s="4" t="s">
        <v>2977</v>
      </c>
      <c r="P2117" s="4">
        <v>244</v>
      </c>
      <c r="Q2117" s="4" t="str">
        <f t="shared" si="107"/>
        <v>乐山市</v>
      </c>
      <c r="R2117" s="4">
        <f t="shared" si="105"/>
        <v>23</v>
      </c>
      <c r="S2117" s="4" t="str">
        <f t="shared" si="106"/>
        <v>四川省</v>
      </c>
    </row>
    <row r="2118" spans="14:19">
      <c r="N2118" s="4">
        <v>2117</v>
      </c>
      <c r="O2118" s="4" t="s">
        <v>2978</v>
      </c>
      <c r="P2118" s="4">
        <v>244</v>
      </c>
      <c r="Q2118" s="4" t="str">
        <f t="shared" si="107"/>
        <v>乐山市</v>
      </c>
      <c r="R2118" s="4">
        <f t="shared" si="105"/>
        <v>23</v>
      </c>
      <c r="S2118" s="4" t="str">
        <f t="shared" si="106"/>
        <v>四川省</v>
      </c>
    </row>
    <row r="2119" spans="14:19">
      <c r="N2119" s="4">
        <v>2118</v>
      </c>
      <c r="O2119" s="4" t="s">
        <v>2979</v>
      </c>
      <c r="P2119" s="4">
        <v>244</v>
      </c>
      <c r="Q2119" s="4" t="str">
        <f t="shared" si="107"/>
        <v>乐山市</v>
      </c>
      <c r="R2119" s="4">
        <f t="shared" si="105"/>
        <v>23</v>
      </c>
      <c r="S2119" s="4" t="str">
        <f t="shared" si="106"/>
        <v>四川省</v>
      </c>
    </row>
    <row r="2120" spans="14:19">
      <c r="N2120" s="4">
        <v>2119</v>
      </c>
      <c r="O2120" s="4" t="s">
        <v>2980</v>
      </c>
      <c r="P2120" s="4">
        <v>244</v>
      </c>
      <c r="Q2120" s="4" t="str">
        <f t="shared" si="107"/>
        <v>乐山市</v>
      </c>
      <c r="R2120" s="4">
        <f t="shared" si="105"/>
        <v>23</v>
      </c>
      <c r="S2120" s="4" t="str">
        <f t="shared" si="106"/>
        <v>四川省</v>
      </c>
    </row>
    <row r="2121" spans="14:19">
      <c r="N2121" s="4">
        <v>2120</v>
      </c>
      <c r="O2121" s="4" t="s">
        <v>2981</v>
      </c>
      <c r="P2121" s="4">
        <v>245</v>
      </c>
      <c r="Q2121" s="4" t="str">
        <f t="shared" si="107"/>
        <v>南充市</v>
      </c>
      <c r="R2121" s="4">
        <f t="shared" si="105"/>
        <v>23</v>
      </c>
      <c r="S2121" s="4" t="str">
        <f t="shared" si="106"/>
        <v>四川省</v>
      </c>
    </row>
    <row r="2122" spans="14:19">
      <c r="N2122" s="4">
        <v>2121</v>
      </c>
      <c r="O2122" s="4" t="s">
        <v>2982</v>
      </c>
      <c r="P2122" s="4">
        <v>245</v>
      </c>
      <c r="Q2122" s="4" t="str">
        <f t="shared" si="107"/>
        <v>南充市</v>
      </c>
      <c r="R2122" s="4">
        <f t="shared" si="105"/>
        <v>23</v>
      </c>
      <c r="S2122" s="4" t="str">
        <f t="shared" si="106"/>
        <v>四川省</v>
      </c>
    </row>
    <row r="2123" spans="14:19">
      <c r="N2123" s="4">
        <v>2122</v>
      </c>
      <c r="O2123" s="4" t="s">
        <v>2983</v>
      </c>
      <c r="P2123" s="4">
        <v>245</v>
      </c>
      <c r="Q2123" s="4" t="str">
        <f t="shared" si="107"/>
        <v>南充市</v>
      </c>
      <c r="R2123" s="4">
        <f t="shared" si="105"/>
        <v>23</v>
      </c>
      <c r="S2123" s="4" t="str">
        <f t="shared" si="106"/>
        <v>四川省</v>
      </c>
    </row>
    <row r="2124" spans="14:19">
      <c r="N2124" s="4">
        <v>2123</v>
      </c>
      <c r="O2124" s="4" t="s">
        <v>2984</v>
      </c>
      <c r="P2124" s="4">
        <v>245</v>
      </c>
      <c r="Q2124" s="4" t="str">
        <f t="shared" si="107"/>
        <v>南充市</v>
      </c>
      <c r="R2124" s="4">
        <f t="shared" si="105"/>
        <v>23</v>
      </c>
      <c r="S2124" s="4" t="str">
        <f t="shared" si="106"/>
        <v>四川省</v>
      </c>
    </row>
    <row r="2125" spans="14:19">
      <c r="N2125" s="4">
        <v>2124</v>
      </c>
      <c r="O2125" s="4" t="s">
        <v>2985</v>
      </c>
      <c r="P2125" s="4">
        <v>245</v>
      </c>
      <c r="Q2125" s="4" t="str">
        <f t="shared" si="107"/>
        <v>南充市</v>
      </c>
      <c r="R2125" s="4">
        <f t="shared" si="105"/>
        <v>23</v>
      </c>
      <c r="S2125" s="4" t="str">
        <f t="shared" si="106"/>
        <v>四川省</v>
      </c>
    </row>
    <row r="2126" spans="14:19">
      <c r="N2126" s="4">
        <v>2125</v>
      </c>
      <c r="O2126" s="4" t="s">
        <v>2986</v>
      </c>
      <c r="P2126" s="4">
        <v>245</v>
      </c>
      <c r="Q2126" s="4" t="str">
        <f t="shared" si="107"/>
        <v>南充市</v>
      </c>
      <c r="R2126" s="4">
        <f t="shared" si="105"/>
        <v>23</v>
      </c>
      <c r="S2126" s="4" t="str">
        <f t="shared" si="106"/>
        <v>四川省</v>
      </c>
    </row>
    <row r="2127" spans="14:19">
      <c r="N2127" s="4">
        <v>2126</v>
      </c>
      <c r="O2127" s="4" t="s">
        <v>2987</v>
      </c>
      <c r="P2127" s="4">
        <v>245</v>
      </c>
      <c r="Q2127" s="4" t="str">
        <f t="shared" si="107"/>
        <v>南充市</v>
      </c>
      <c r="R2127" s="4">
        <f t="shared" si="105"/>
        <v>23</v>
      </c>
      <c r="S2127" s="4" t="str">
        <f t="shared" si="106"/>
        <v>四川省</v>
      </c>
    </row>
    <row r="2128" spans="14:19">
      <c r="N2128" s="4">
        <v>2127</v>
      </c>
      <c r="O2128" s="4" t="s">
        <v>2988</v>
      </c>
      <c r="P2128" s="4">
        <v>245</v>
      </c>
      <c r="Q2128" s="4" t="str">
        <f t="shared" si="107"/>
        <v>南充市</v>
      </c>
      <c r="R2128" s="4">
        <f t="shared" si="105"/>
        <v>23</v>
      </c>
      <c r="S2128" s="4" t="str">
        <f t="shared" si="106"/>
        <v>四川省</v>
      </c>
    </row>
    <row r="2129" spans="14:19">
      <c r="N2129" s="4">
        <v>2128</v>
      </c>
      <c r="O2129" s="4" t="s">
        <v>2989</v>
      </c>
      <c r="P2129" s="4">
        <v>245</v>
      </c>
      <c r="Q2129" s="4" t="str">
        <f t="shared" si="107"/>
        <v>南充市</v>
      </c>
      <c r="R2129" s="4">
        <f t="shared" si="105"/>
        <v>23</v>
      </c>
      <c r="S2129" s="4" t="str">
        <f t="shared" si="106"/>
        <v>四川省</v>
      </c>
    </row>
    <row r="2130" spans="14:19">
      <c r="N2130" s="4">
        <v>2129</v>
      </c>
      <c r="O2130" s="4" t="s">
        <v>2990</v>
      </c>
      <c r="P2130" s="4">
        <v>246</v>
      </c>
      <c r="Q2130" s="4" t="str">
        <f t="shared" si="107"/>
        <v>眉山市</v>
      </c>
      <c r="R2130" s="4">
        <f t="shared" si="105"/>
        <v>23</v>
      </c>
      <c r="S2130" s="4" t="str">
        <f t="shared" si="106"/>
        <v>四川省</v>
      </c>
    </row>
    <row r="2131" spans="14:19">
      <c r="N2131" s="4">
        <v>2130</v>
      </c>
      <c r="O2131" s="4" t="s">
        <v>2991</v>
      </c>
      <c r="P2131" s="4">
        <v>246</v>
      </c>
      <c r="Q2131" s="4" t="str">
        <f t="shared" si="107"/>
        <v>眉山市</v>
      </c>
      <c r="R2131" s="4">
        <f t="shared" si="105"/>
        <v>23</v>
      </c>
      <c r="S2131" s="4" t="str">
        <f t="shared" si="106"/>
        <v>四川省</v>
      </c>
    </row>
    <row r="2132" spans="14:19">
      <c r="N2132" s="4">
        <v>2131</v>
      </c>
      <c r="O2132" s="4" t="s">
        <v>2992</v>
      </c>
      <c r="P2132" s="4">
        <v>246</v>
      </c>
      <c r="Q2132" s="4" t="str">
        <f t="shared" si="107"/>
        <v>眉山市</v>
      </c>
      <c r="R2132" s="4">
        <f t="shared" si="105"/>
        <v>23</v>
      </c>
      <c r="S2132" s="4" t="str">
        <f t="shared" si="106"/>
        <v>四川省</v>
      </c>
    </row>
    <row r="2133" spans="14:19">
      <c r="N2133" s="4">
        <v>2132</v>
      </c>
      <c r="O2133" s="4" t="s">
        <v>2993</v>
      </c>
      <c r="P2133" s="4">
        <v>246</v>
      </c>
      <c r="Q2133" s="4" t="str">
        <f t="shared" si="107"/>
        <v>眉山市</v>
      </c>
      <c r="R2133" s="4">
        <f t="shared" si="105"/>
        <v>23</v>
      </c>
      <c r="S2133" s="4" t="str">
        <f t="shared" si="106"/>
        <v>四川省</v>
      </c>
    </row>
    <row r="2134" spans="14:19">
      <c r="N2134" s="4">
        <v>2133</v>
      </c>
      <c r="O2134" s="4" t="s">
        <v>2994</v>
      </c>
      <c r="P2134" s="4">
        <v>246</v>
      </c>
      <c r="Q2134" s="4" t="str">
        <f t="shared" si="107"/>
        <v>眉山市</v>
      </c>
      <c r="R2134" s="4">
        <f t="shared" si="105"/>
        <v>23</v>
      </c>
      <c r="S2134" s="4" t="str">
        <f t="shared" si="106"/>
        <v>四川省</v>
      </c>
    </row>
    <row r="2135" spans="14:19">
      <c r="N2135" s="4">
        <v>2134</v>
      </c>
      <c r="O2135" s="4" t="s">
        <v>2995</v>
      </c>
      <c r="P2135" s="4">
        <v>246</v>
      </c>
      <c r="Q2135" s="4" t="str">
        <f t="shared" si="107"/>
        <v>眉山市</v>
      </c>
      <c r="R2135" s="4">
        <f t="shared" si="105"/>
        <v>23</v>
      </c>
      <c r="S2135" s="4" t="str">
        <f t="shared" si="106"/>
        <v>四川省</v>
      </c>
    </row>
    <row r="2136" spans="14:19">
      <c r="N2136" s="4">
        <v>2135</v>
      </c>
      <c r="O2136" s="4" t="s">
        <v>2996</v>
      </c>
      <c r="P2136" s="4">
        <v>247</v>
      </c>
      <c r="Q2136" s="4" t="str">
        <f t="shared" si="107"/>
        <v>宜宾市</v>
      </c>
      <c r="R2136" s="4">
        <f t="shared" si="105"/>
        <v>23</v>
      </c>
      <c r="S2136" s="4" t="str">
        <f t="shared" si="106"/>
        <v>四川省</v>
      </c>
    </row>
    <row r="2137" spans="14:19">
      <c r="N2137" s="4">
        <v>2136</v>
      </c>
      <c r="O2137" s="4" t="s">
        <v>2997</v>
      </c>
      <c r="P2137" s="4">
        <v>247</v>
      </c>
      <c r="Q2137" s="4" t="str">
        <f t="shared" si="107"/>
        <v>宜宾市</v>
      </c>
      <c r="R2137" s="4">
        <f t="shared" si="105"/>
        <v>23</v>
      </c>
      <c r="S2137" s="4" t="str">
        <f t="shared" si="106"/>
        <v>四川省</v>
      </c>
    </row>
    <row r="2138" spans="14:19">
      <c r="N2138" s="4">
        <v>2137</v>
      </c>
      <c r="O2138" s="4" t="s">
        <v>2998</v>
      </c>
      <c r="P2138" s="4">
        <v>247</v>
      </c>
      <c r="Q2138" s="4" t="str">
        <f t="shared" si="107"/>
        <v>宜宾市</v>
      </c>
      <c r="R2138" s="4">
        <f t="shared" si="105"/>
        <v>23</v>
      </c>
      <c r="S2138" s="4" t="str">
        <f t="shared" si="106"/>
        <v>四川省</v>
      </c>
    </row>
    <row r="2139" spans="14:19">
      <c r="N2139" s="4">
        <v>2138</v>
      </c>
      <c r="O2139" s="4" t="s">
        <v>2999</v>
      </c>
      <c r="P2139" s="4">
        <v>247</v>
      </c>
      <c r="Q2139" s="4" t="str">
        <f t="shared" si="107"/>
        <v>宜宾市</v>
      </c>
      <c r="R2139" s="4">
        <f t="shared" si="105"/>
        <v>23</v>
      </c>
      <c r="S2139" s="4" t="str">
        <f t="shared" si="106"/>
        <v>四川省</v>
      </c>
    </row>
    <row r="2140" spans="14:19">
      <c r="N2140" s="4">
        <v>2139</v>
      </c>
      <c r="O2140" s="4" t="s">
        <v>3000</v>
      </c>
      <c r="P2140" s="4">
        <v>247</v>
      </c>
      <c r="Q2140" s="4" t="str">
        <f t="shared" si="107"/>
        <v>宜宾市</v>
      </c>
      <c r="R2140" s="4">
        <f t="shared" si="105"/>
        <v>23</v>
      </c>
      <c r="S2140" s="4" t="str">
        <f t="shared" si="106"/>
        <v>四川省</v>
      </c>
    </row>
    <row r="2141" spans="14:19">
      <c r="N2141" s="4">
        <v>2140</v>
      </c>
      <c r="O2141" s="4" t="s">
        <v>3001</v>
      </c>
      <c r="P2141" s="4">
        <v>247</v>
      </c>
      <c r="Q2141" s="4" t="str">
        <f t="shared" si="107"/>
        <v>宜宾市</v>
      </c>
      <c r="R2141" s="4">
        <f t="shared" si="105"/>
        <v>23</v>
      </c>
      <c r="S2141" s="4" t="str">
        <f t="shared" si="106"/>
        <v>四川省</v>
      </c>
    </row>
    <row r="2142" spans="14:19">
      <c r="N2142" s="4">
        <v>2141</v>
      </c>
      <c r="O2142" s="4" t="s">
        <v>3002</v>
      </c>
      <c r="P2142" s="4">
        <v>247</v>
      </c>
      <c r="Q2142" s="4" t="str">
        <f t="shared" si="107"/>
        <v>宜宾市</v>
      </c>
      <c r="R2142" s="4">
        <f t="shared" si="105"/>
        <v>23</v>
      </c>
      <c r="S2142" s="4" t="str">
        <f t="shared" si="106"/>
        <v>四川省</v>
      </c>
    </row>
    <row r="2143" spans="14:19">
      <c r="N2143" s="4">
        <v>2142</v>
      </c>
      <c r="O2143" s="4" t="s">
        <v>3003</v>
      </c>
      <c r="P2143" s="4">
        <v>247</v>
      </c>
      <c r="Q2143" s="4" t="str">
        <f t="shared" si="107"/>
        <v>宜宾市</v>
      </c>
      <c r="R2143" s="4">
        <f t="shared" si="105"/>
        <v>23</v>
      </c>
      <c r="S2143" s="4" t="str">
        <f t="shared" si="106"/>
        <v>四川省</v>
      </c>
    </row>
    <row r="2144" spans="14:19">
      <c r="N2144" s="4">
        <v>2143</v>
      </c>
      <c r="O2144" s="4" t="s">
        <v>3004</v>
      </c>
      <c r="P2144" s="4">
        <v>247</v>
      </c>
      <c r="Q2144" s="4" t="str">
        <f t="shared" si="107"/>
        <v>宜宾市</v>
      </c>
      <c r="R2144" s="4">
        <f t="shared" si="105"/>
        <v>23</v>
      </c>
      <c r="S2144" s="4" t="str">
        <f t="shared" si="106"/>
        <v>四川省</v>
      </c>
    </row>
    <row r="2145" spans="14:19">
      <c r="N2145" s="4">
        <v>2144</v>
      </c>
      <c r="O2145" s="4" t="s">
        <v>3005</v>
      </c>
      <c r="P2145" s="4">
        <v>247</v>
      </c>
      <c r="Q2145" s="4" t="str">
        <f t="shared" si="107"/>
        <v>宜宾市</v>
      </c>
      <c r="R2145" s="4">
        <f t="shared" si="105"/>
        <v>23</v>
      </c>
      <c r="S2145" s="4" t="str">
        <f t="shared" si="106"/>
        <v>四川省</v>
      </c>
    </row>
    <row r="2146" spans="14:19">
      <c r="N2146" s="4">
        <v>2145</v>
      </c>
      <c r="O2146" s="4" t="s">
        <v>3006</v>
      </c>
      <c r="P2146" s="4">
        <v>248</v>
      </c>
      <c r="Q2146" s="4" t="str">
        <f t="shared" si="107"/>
        <v>广安市</v>
      </c>
      <c r="R2146" s="4">
        <f t="shared" si="105"/>
        <v>23</v>
      </c>
      <c r="S2146" s="4" t="str">
        <f t="shared" si="106"/>
        <v>四川省</v>
      </c>
    </row>
    <row r="2147" spans="14:19">
      <c r="N2147" s="4">
        <v>2146</v>
      </c>
      <c r="O2147" s="4" t="s">
        <v>3007</v>
      </c>
      <c r="P2147" s="4">
        <v>248</v>
      </c>
      <c r="Q2147" s="4" t="str">
        <f t="shared" si="107"/>
        <v>广安市</v>
      </c>
      <c r="R2147" s="4">
        <f t="shared" si="105"/>
        <v>23</v>
      </c>
      <c r="S2147" s="4" t="str">
        <f t="shared" si="106"/>
        <v>四川省</v>
      </c>
    </row>
    <row r="2148" spans="14:19">
      <c r="N2148" s="4">
        <v>2147</v>
      </c>
      <c r="O2148" s="4" t="s">
        <v>3008</v>
      </c>
      <c r="P2148" s="4">
        <v>248</v>
      </c>
      <c r="Q2148" s="4" t="str">
        <f t="shared" si="107"/>
        <v>广安市</v>
      </c>
      <c r="R2148" s="4">
        <f t="shared" si="105"/>
        <v>23</v>
      </c>
      <c r="S2148" s="4" t="str">
        <f t="shared" si="106"/>
        <v>四川省</v>
      </c>
    </row>
    <row r="2149" spans="14:19">
      <c r="N2149" s="4">
        <v>2148</v>
      </c>
      <c r="O2149" s="4" t="s">
        <v>3009</v>
      </c>
      <c r="P2149" s="4">
        <v>248</v>
      </c>
      <c r="Q2149" s="4" t="str">
        <f t="shared" si="107"/>
        <v>广安市</v>
      </c>
      <c r="R2149" s="4">
        <f t="shared" si="105"/>
        <v>23</v>
      </c>
      <c r="S2149" s="4" t="str">
        <f t="shared" si="106"/>
        <v>四川省</v>
      </c>
    </row>
    <row r="2150" spans="14:19">
      <c r="N2150" s="4">
        <v>2149</v>
      </c>
      <c r="O2150" s="4" t="s">
        <v>3010</v>
      </c>
      <c r="P2150" s="4">
        <v>248</v>
      </c>
      <c r="Q2150" s="4" t="str">
        <f t="shared" si="107"/>
        <v>广安市</v>
      </c>
      <c r="R2150" s="4">
        <f t="shared" si="105"/>
        <v>23</v>
      </c>
      <c r="S2150" s="4" t="str">
        <f t="shared" si="106"/>
        <v>四川省</v>
      </c>
    </row>
    <row r="2151" spans="14:19">
      <c r="N2151" s="4">
        <v>2150</v>
      </c>
      <c r="O2151" s="4" t="s">
        <v>3011</v>
      </c>
      <c r="P2151" s="4">
        <v>249</v>
      </c>
      <c r="Q2151" s="4" t="str">
        <f t="shared" si="107"/>
        <v>达州市</v>
      </c>
      <c r="R2151" s="4">
        <f t="shared" si="105"/>
        <v>23</v>
      </c>
      <c r="S2151" s="4" t="str">
        <f t="shared" si="106"/>
        <v>四川省</v>
      </c>
    </row>
    <row r="2152" spans="14:19">
      <c r="N2152" s="4">
        <v>2151</v>
      </c>
      <c r="O2152" s="4" t="s">
        <v>3012</v>
      </c>
      <c r="P2152" s="4">
        <v>249</v>
      </c>
      <c r="Q2152" s="4" t="str">
        <f t="shared" si="107"/>
        <v>达州市</v>
      </c>
      <c r="R2152" s="4">
        <f t="shared" si="105"/>
        <v>23</v>
      </c>
      <c r="S2152" s="4" t="str">
        <f t="shared" si="106"/>
        <v>四川省</v>
      </c>
    </row>
    <row r="2153" spans="14:19">
      <c r="N2153" s="4">
        <v>2152</v>
      </c>
      <c r="O2153" s="4" t="s">
        <v>3013</v>
      </c>
      <c r="P2153" s="4">
        <v>249</v>
      </c>
      <c r="Q2153" s="4" t="str">
        <f t="shared" si="107"/>
        <v>达州市</v>
      </c>
      <c r="R2153" s="4">
        <f t="shared" si="105"/>
        <v>23</v>
      </c>
      <c r="S2153" s="4" t="str">
        <f t="shared" si="106"/>
        <v>四川省</v>
      </c>
    </row>
    <row r="2154" spans="14:19">
      <c r="N2154" s="4">
        <v>2153</v>
      </c>
      <c r="O2154" s="4" t="s">
        <v>3014</v>
      </c>
      <c r="P2154" s="4">
        <v>249</v>
      </c>
      <c r="Q2154" s="4" t="str">
        <f t="shared" si="107"/>
        <v>达州市</v>
      </c>
      <c r="R2154" s="4">
        <f t="shared" si="105"/>
        <v>23</v>
      </c>
      <c r="S2154" s="4" t="str">
        <f t="shared" si="106"/>
        <v>四川省</v>
      </c>
    </row>
    <row r="2155" spans="14:19">
      <c r="N2155" s="4">
        <v>2154</v>
      </c>
      <c r="O2155" s="4" t="s">
        <v>3015</v>
      </c>
      <c r="P2155" s="4">
        <v>249</v>
      </c>
      <c r="Q2155" s="4" t="str">
        <f t="shared" si="107"/>
        <v>达州市</v>
      </c>
      <c r="R2155" s="4">
        <f t="shared" si="105"/>
        <v>23</v>
      </c>
      <c r="S2155" s="4" t="str">
        <f t="shared" si="106"/>
        <v>四川省</v>
      </c>
    </row>
    <row r="2156" spans="14:19">
      <c r="N2156" s="4">
        <v>2155</v>
      </c>
      <c r="O2156" s="4" t="s">
        <v>3016</v>
      </c>
      <c r="P2156" s="4">
        <v>249</v>
      </c>
      <c r="Q2156" s="4" t="str">
        <f t="shared" si="107"/>
        <v>达州市</v>
      </c>
      <c r="R2156" s="4">
        <f t="shared" si="105"/>
        <v>23</v>
      </c>
      <c r="S2156" s="4" t="str">
        <f t="shared" si="106"/>
        <v>四川省</v>
      </c>
    </row>
    <row r="2157" spans="14:19">
      <c r="N2157" s="4">
        <v>2156</v>
      </c>
      <c r="O2157" s="4" t="s">
        <v>3017</v>
      </c>
      <c r="P2157" s="4">
        <v>249</v>
      </c>
      <c r="Q2157" s="4" t="str">
        <f t="shared" si="107"/>
        <v>达州市</v>
      </c>
      <c r="R2157" s="4">
        <f t="shared" si="105"/>
        <v>23</v>
      </c>
      <c r="S2157" s="4" t="str">
        <f t="shared" si="106"/>
        <v>四川省</v>
      </c>
    </row>
    <row r="2158" spans="14:19">
      <c r="N2158" s="4">
        <v>2157</v>
      </c>
      <c r="O2158" s="4" t="s">
        <v>3018</v>
      </c>
      <c r="P2158" s="4">
        <v>250</v>
      </c>
      <c r="Q2158" s="4" t="str">
        <f t="shared" si="107"/>
        <v>雅安市</v>
      </c>
      <c r="R2158" s="4">
        <f t="shared" si="105"/>
        <v>23</v>
      </c>
      <c r="S2158" s="4" t="str">
        <f t="shared" si="106"/>
        <v>四川省</v>
      </c>
    </row>
    <row r="2159" spans="14:19">
      <c r="N2159" s="4">
        <v>2158</v>
      </c>
      <c r="O2159" s="4" t="s">
        <v>3019</v>
      </c>
      <c r="P2159" s="4">
        <v>250</v>
      </c>
      <c r="Q2159" s="4" t="str">
        <f t="shared" si="107"/>
        <v>雅安市</v>
      </c>
      <c r="R2159" s="4">
        <f t="shared" si="105"/>
        <v>23</v>
      </c>
      <c r="S2159" s="4" t="str">
        <f t="shared" si="106"/>
        <v>四川省</v>
      </c>
    </row>
    <row r="2160" spans="14:19">
      <c r="N2160" s="4">
        <v>2159</v>
      </c>
      <c r="O2160" s="4" t="s">
        <v>3020</v>
      </c>
      <c r="P2160" s="4">
        <v>250</v>
      </c>
      <c r="Q2160" s="4" t="str">
        <f t="shared" si="107"/>
        <v>雅安市</v>
      </c>
      <c r="R2160" s="4">
        <f t="shared" si="105"/>
        <v>23</v>
      </c>
      <c r="S2160" s="4" t="str">
        <f t="shared" si="106"/>
        <v>四川省</v>
      </c>
    </row>
    <row r="2161" spans="14:19">
      <c r="N2161" s="4">
        <v>2160</v>
      </c>
      <c r="O2161" s="4" t="s">
        <v>3021</v>
      </c>
      <c r="P2161" s="4">
        <v>250</v>
      </c>
      <c r="Q2161" s="4" t="str">
        <f t="shared" si="107"/>
        <v>雅安市</v>
      </c>
      <c r="R2161" s="4">
        <f t="shared" si="105"/>
        <v>23</v>
      </c>
      <c r="S2161" s="4" t="str">
        <f t="shared" si="106"/>
        <v>四川省</v>
      </c>
    </row>
    <row r="2162" spans="14:19">
      <c r="N2162" s="4">
        <v>2161</v>
      </c>
      <c r="O2162" s="4" t="s">
        <v>3022</v>
      </c>
      <c r="P2162" s="4">
        <v>250</v>
      </c>
      <c r="Q2162" s="4" t="str">
        <f t="shared" si="107"/>
        <v>雅安市</v>
      </c>
      <c r="R2162" s="4">
        <f t="shared" si="105"/>
        <v>23</v>
      </c>
      <c r="S2162" s="4" t="str">
        <f t="shared" si="106"/>
        <v>四川省</v>
      </c>
    </row>
    <row r="2163" spans="14:19">
      <c r="N2163" s="4">
        <v>2162</v>
      </c>
      <c r="O2163" s="4" t="s">
        <v>3023</v>
      </c>
      <c r="P2163" s="4">
        <v>250</v>
      </c>
      <c r="Q2163" s="4" t="str">
        <f t="shared" si="107"/>
        <v>雅安市</v>
      </c>
      <c r="R2163" s="4">
        <f t="shared" si="105"/>
        <v>23</v>
      </c>
      <c r="S2163" s="4" t="str">
        <f t="shared" si="106"/>
        <v>四川省</v>
      </c>
    </row>
    <row r="2164" spans="14:19">
      <c r="N2164" s="4">
        <v>2163</v>
      </c>
      <c r="O2164" s="4" t="s">
        <v>3024</v>
      </c>
      <c r="P2164" s="4">
        <v>250</v>
      </c>
      <c r="Q2164" s="4" t="str">
        <f t="shared" si="107"/>
        <v>雅安市</v>
      </c>
      <c r="R2164" s="4">
        <f t="shared" si="105"/>
        <v>23</v>
      </c>
      <c r="S2164" s="4" t="str">
        <f t="shared" si="106"/>
        <v>四川省</v>
      </c>
    </row>
    <row r="2165" spans="14:19">
      <c r="N2165" s="4">
        <v>2164</v>
      </c>
      <c r="O2165" s="4" t="s">
        <v>3025</v>
      </c>
      <c r="P2165" s="4">
        <v>250</v>
      </c>
      <c r="Q2165" s="4" t="str">
        <f t="shared" si="107"/>
        <v>雅安市</v>
      </c>
      <c r="R2165" s="4">
        <f t="shared" si="105"/>
        <v>23</v>
      </c>
      <c r="S2165" s="4" t="str">
        <f t="shared" si="106"/>
        <v>四川省</v>
      </c>
    </row>
    <row r="2166" spans="14:19">
      <c r="N2166" s="4">
        <v>2165</v>
      </c>
      <c r="O2166" s="4" t="s">
        <v>3026</v>
      </c>
      <c r="P2166" s="4">
        <v>251</v>
      </c>
      <c r="Q2166" s="4" t="str">
        <f t="shared" si="107"/>
        <v>巴中市</v>
      </c>
      <c r="R2166" s="4">
        <f t="shared" si="105"/>
        <v>23</v>
      </c>
      <c r="S2166" s="4" t="str">
        <f t="shared" si="106"/>
        <v>四川省</v>
      </c>
    </row>
    <row r="2167" spans="14:19">
      <c r="N2167" s="4">
        <v>2166</v>
      </c>
      <c r="O2167" s="4" t="s">
        <v>3027</v>
      </c>
      <c r="P2167" s="4">
        <v>251</v>
      </c>
      <c r="Q2167" s="4" t="str">
        <f t="shared" si="107"/>
        <v>巴中市</v>
      </c>
      <c r="R2167" s="4">
        <f t="shared" si="105"/>
        <v>23</v>
      </c>
      <c r="S2167" s="4" t="str">
        <f t="shared" si="106"/>
        <v>四川省</v>
      </c>
    </row>
    <row r="2168" spans="14:19">
      <c r="N2168" s="4">
        <v>2167</v>
      </c>
      <c r="O2168" s="4" t="s">
        <v>3028</v>
      </c>
      <c r="P2168" s="4">
        <v>251</v>
      </c>
      <c r="Q2168" s="4" t="str">
        <f t="shared" si="107"/>
        <v>巴中市</v>
      </c>
      <c r="R2168" s="4">
        <f t="shared" si="105"/>
        <v>23</v>
      </c>
      <c r="S2168" s="4" t="str">
        <f t="shared" si="106"/>
        <v>四川省</v>
      </c>
    </row>
    <row r="2169" spans="14:19">
      <c r="N2169" s="4">
        <v>2168</v>
      </c>
      <c r="O2169" s="4" t="s">
        <v>3029</v>
      </c>
      <c r="P2169" s="4">
        <v>251</v>
      </c>
      <c r="Q2169" s="4" t="str">
        <f t="shared" si="107"/>
        <v>巴中市</v>
      </c>
      <c r="R2169" s="4">
        <f t="shared" si="105"/>
        <v>23</v>
      </c>
      <c r="S2169" s="4" t="str">
        <f t="shared" si="106"/>
        <v>四川省</v>
      </c>
    </row>
    <row r="2170" spans="14:19">
      <c r="N2170" s="4">
        <v>2169</v>
      </c>
      <c r="O2170" s="4" t="s">
        <v>3030</v>
      </c>
      <c r="P2170" s="4">
        <v>252</v>
      </c>
      <c r="Q2170" s="4" t="str">
        <f t="shared" si="107"/>
        <v>资阳市</v>
      </c>
      <c r="R2170" s="4">
        <f t="shared" si="105"/>
        <v>23</v>
      </c>
      <c r="S2170" s="4" t="str">
        <f t="shared" si="106"/>
        <v>四川省</v>
      </c>
    </row>
    <row r="2171" spans="14:19">
      <c r="N2171" s="4">
        <v>2170</v>
      </c>
      <c r="O2171" s="4" t="s">
        <v>3031</v>
      </c>
      <c r="P2171" s="4">
        <v>252</v>
      </c>
      <c r="Q2171" s="4" t="str">
        <f t="shared" si="107"/>
        <v>资阳市</v>
      </c>
      <c r="R2171" s="4">
        <f t="shared" si="105"/>
        <v>23</v>
      </c>
      <c r="S2171" s="4" t="str">
        <f t="shared" si="106"/>
        <v>四川省</v>
      </c>
    </row>
    <row r="2172" spans="14:19">
      <c r="N2172" s="4">
        <v>2171</v>
      </c>
      <c r="O2172" s="4" t="s">
        <v>3032</v>
      </c>
      <c r="P2172" s="4">
        <v>252</v>
      </c>
      <c r="Q2172" s="4" t="str">
        <f t="shared" si="107"/>
        <v>资阳市</v>
      </c>
      <c r="R2172" s="4">
        <f t="shared" si="105"/>
        <v>23</v>
      </c>
      <c r="S2172" s="4" t="str">
        <f t="shared" si="106"/>
        <v>四川省</v>
      </c>
    </row>
    <row r="2173" spans="14:19">
      <c r="N2173" s="4">
        <v>2172</v>
      </c>
      <c r="O2173" s="4" t="s">
        <v>3033</v>
      </c>
      <c r="P2173" s="4">
        <v>252</v>
      </c>
      <c r="Q2173" s="4" t="str">
        <f t="shared" si="107"/>
        <v>资阳市</v>
      </c>
      <c r="R2173" s="4">
        <f t="shared" si="105"/>
        <v>23</v>
      </c>
      <c r="S2173" s="4" t="str">
        <f t="shared" si="106"/>
        <v>四川省</v>
      </c>
    </row>
    <row r="2174" spans="14:19">
      <c r="N2174" s="4">
        <v>2173</v>
      </c>
      <c r="O2174" s="4" t="s">
        <v>3034</v>
      </c>
      <c r="P2174" s="4">
        <v>253</v>
      </c>
      <c r="Q2174" s="4" t="str">
        <f t="shared" si="107"/>
        <v>阿坝藏族羌族自治州</v>
      </c>
      <c r="R2174" s="4">
        <f t="shared" si="105"/>
        <v>23</v>
      </c>
      <c r="S2174" s="4" t="str">
        <f t="shared" si="106"/>
        <v>四川省</v>
      </c>
    </row>
    <row r="2175" spans="14:19">
      <c r="N2175" s="4">
        <v>2174</v>
      </c>
      <c r="O2175" s="4" t="s">
        <v>3035</v>
      </c>
      <c r="P2175" s="4">
        <v>253</v>
      </c>
      <c r="Q2175" s="4" t="str">
        <f t="shared" si="107"/>
        <v>阿坝藏族羌族自治州</v>
      </c>
      <c r="R2175" s="4">
        <f t="shared" si="105"/>
        <v>23</v>
      </c>
      <c r="S2175" s="4" t="str">
        <f t="shared" si="106"/>
        <v>四川省</v>
      </c>
    </row>
    <row r="2176" spans="14:19">
      <c r="N2176" s="4">
        <v>2175</v>
      </c>
      <c r="O2176" s="4" t="s">
        <v>3036</v>
      </c>
      <c r="P2176" s="4">
        <v>253</v>
      </c>
      <c r="Q2176" s="4" t="str">
        <f t="shared" si="107"/>
        <v>阿坝藏族羌族自治州</v>
      </c>
      <c r="R2176" s="4">
        <f t="shared" si="105"/>
        <v>23</v>
      </c>
      <c r="S2176" s="4" t="str">
        <f t="shared" si="106"/>
        <v>四川省</v>
      </c>
    </row>
    <row r="2177" spans="14:19">
      <c r="N2177" s="4">
        <v>2176</v>
      </c>
      <c r="O2177" s="4" t="s">
        <v>3037</v>
      </c>
      <c r="P2177" s="4">
        <v>253</v>
      </c>
      <c r="Q2177" s="4" t="str">
        <f t="shared" si="107"/>
        <v>阿坝藏族羌族自治州</v>
      </c>
      <c r="R2177" s="4">
        <f t="shared" si="105"/>
        <v>23</v>
      </c>
      <c r="S2177" s="4" t="str">
        <f t="shared" si="106"/>
        <v>四川省</v>
      </c>
    </row>
    <row r="2178" spans="14:19">
      <c r="N2178" s="4">
        <v>2177</v>
      </c>
      <c r="O2178" s="4" t="s">
        <v>3038</v>
      </c>
      <c r="P2178" s="4">
        <v>253</v>
      </c>
      <c r="Q2178" s="4" t="str">
        <f t="shared" si="107"/>
        <v>阿坝藏族羌族自治州</v>
      </c>
      <c r="R2178" s="4">
        <f t="shared" ref="R2178:R2241" si="108">VLOOKUP(P2178,$I$2:$M$346,3,FALSE)</f>
        <v>23</v>
      </c>
      <c r="S2178" s="4" t="str">
        <f t="shared" ref="S2178:S2241" si="109">VLOOKUP(P2178,$I$2:$M$346,4,FALSE)</f>
        <v>四川省</v>
      </c>
    </row>
    <row r="2179" spans="14:19">
      <c r="N2179" s="4">
        <v>2178</v>
      </c>
      <c r="O2179" s="4" t="s">
        <v>3039</v>
      </c>
      <c r="P2179" s="4">
        <v>253</v>
      </c>
      <c r="Q2179" s="4" t="str">
        <f t="shared" ref="Q2179:Q2242" si="110">VLOOKUP(P2179,$I$2:$J$346,2,FALSE)</f>
        <v>阿坝藏族羌族自治州</v>
      </c>
      <c r="R2179" s="4">
        <f t="shared" si="108"/>
        <v>23</v>
      </c>
      <c r="S2179" s="4" t="str">
        <f t="shared" si="109"/>
        <v>四川省</v>
      </c>
    </row>
    <row r="2180" spans="14:19">
      <c r="N2180" s="4">
        <v>2179</v>
      </c>
      <c r="O2180" s="4" t="s">
        <v>3040</v>
      </c>
      <c r="P2180" s="4">
        <v>253</v>
      </c>
      <c r="Q2180" s="4" t="str">
        <f t="shared" si="110"/>
        <v>阿坝藏族羌族自治州</v>
      </c>
      <c r="R2180" s="4">
        <f t="shared" si="108"/>
        <v>23</v>
      </c>
      <c r="S2180" s="4" t="str">
        <f t="shared" si="109"/>
        <v>四川省</v>
      </c>
    </row>
    <row r="2181" spans="14:19">
      <c r="N2181" s="4">
        <v>2180</v>
      </c>
      <c r="O2181" s="4" t="s">
        <v>3041</v>
      </c>
      <c r="P2181" s="4">
        <v>253</v>
      </c>
      <c r="Q2181" s="4" t="str">
        <f t="shared" si="110"/>
        <v>阿坝藏族羌族自治州</v>
      </c>
      <c r="R2181" s="4">
        <f t="shared" si="108"/>
        <v>23</v>
      </c>
      <c r="S2181" s="4" t="str">
        <f t="shared" si="109"/>
        <v>四川省</v>
      </c>
    </row>
    <row r="2182" spans="14:19">
      <c r="N2182" s="4">
        <v>2181</v>
      </c>
      <c r="O2182" s="4" t="s">
        <v>3042</v>
      </c>
      <c r="P2182" s="4">
        <v>253</v>
      </c>
      <c r="Q2182" s="4" t="str">
        <f t="shared" si="110"/>
        <v>阿坝藏族羌族自治州</v>
      </c>
      <c r="R2182" s="4">
        <f t="shared" si="108"/>
        <v>23</v>
      </c>
      <c r="S2182" s="4" t="str">
        <f t="shared" si="109"/>
        <v>四川省</v>
      </c>
    </row>
    <row r="2183" spans="14:19">
      <c r="N2183" s="4">
        <v>2182</v>
      </c>
      <c r="O2183" s="4" t="s">
        <v>3043</v>
      </c>
      <c r="P2183" s="4">
        <v>253</v>
      </c>
      <c r="Q2183" s="4" t="str">
        <f t="shared" si="110"/>
        <v>阿坝藏族羌族自治州</v>
      </c>
      <c r="R2183" s="4">
        <f t="shared" si="108"/>
        <v>23</v>
      </c>
      <c r="S2183" s="4" t="str">
        <f t="shared" si="109"/>
        <v>四川省</v>
      </c>
    </row>
    <row r="2184" spans="14:19">
      <c r="N2184" s="4">
        <v>2183</v>
      </c>
      <c r="O2184" s="4" t="s">
        <v>3044</v>
      </c>
      <c r="P2184" s="4">
        <v>253</v>
      </c>
      <c r="Q2184" s="4" t="str">
        <f t="shared" si="110"/>
        <v>阿坝藏族羌族自治州</v>
      </c>
      <c r="R2184" s="4">
        <f t="shared" si="108"/>
        <v>23</v>
      </c>
      <c r="S2184" s="4" t="str">
        <f t="shared" si="109"/>
        <v>四川省</v>
      </c>
    </row>
    <row r="2185" spans="14:19">
      <c r="N2185" s="4">
        <v>2184</v>
      </c>
      <c r="O2185" s="4" t="s">
        <v>3045</v>
      </c>
      <c r="P2185" s="4">
        <v>253</v>
      </c>
      <c r="Q2185" s="4" t="str">
        <f t="shared" si="110"/>
        <v>阿坝藏族羌族自治州</v>
      </c>
      <c r="R2185" s="4">
        <f t="shared" si="108"/>
        <v>23</v>
      </c>
      <c r="S2185" s="4" t="str">
        <f t="shared" si="109"/>
        <v>四川省</v>
      </c>
    </row>
    <row r="2186" spans="14:19">
      <c r="N2186" s="4">
        <v>2185</v>
      </c>
      <c r="O2186" s="4" t="s">
        <v>3046</v>
      </c>
      <c r="P2186" s="4">
        <v>253</v>
      </c>
      <c r="Q2186" s="4" t="str">
        <f t="shared" si="110"/>
        <v>阿坝藏族羌族自治州</v>
      </c>
      <c r="R2186" s="4">
        <f t="shared" si="108"/>
        <v>23</v>
      </c>
      <c r="S2186" s="4" t="str">
        <f t="shared" si="109"/>
        <v>四川省</v>
      </c>
    </row>
    <row r="2187" spans="14:19">
      <c r="N2187" s="4">
        <v>2186</v>
      </c>
      <c r="O2187" s="4" t="s">
        <v>3047</v>
      </c>
      <c r="P2187" s="4">
        <v>254</v>
      </c>
      <c r="Q2187" s="4" t="str">
        <f t="shared" si="110"/>
        <v>甘孜藏族自治州</v>
      </c>
      <c r="R2187" s="4">
        <f t="shared" si="108"/>
        <v>23</v>
      </c>
      <c r="S2187" s="4" t="str">
        <f t="shared" si="109"/>
        <v>四川省</v>
      </c>
    </row>
    <row r="2188" spans="14:19">
      <c r="N2188" s="4">
        <v>2187</v>
      </c>
      <c r="O2188" s="4" t="s">
        <v>3048</v>
      </c>
      <c r="P2188" s="4">
        <v>254</v>
      </c>
      <c r="Q2188" s="4" t="str">
        <f t="shared" si="110"/>
        <v>甘孜藏族自治州</v>
      </c>
      <c r="R2188" s="4">
        <f t="shared" si="108"/>
        <v>23</v>
      </c>
      <c r="S2188" s="4" t="str">
        <f t="shared" si="109"/>
        <v>四川省</v>
      </c>
    </row>
    <row r="2189" spans="14:19">
      <c r="N2189" s="4">
        <v>2188</v>
      </c>
      <c r="O2189" s="4" t="s">
        <v>3049</v>
      </c>
      <c r="P2189" s="4">
        <v>254</v>
      </c>
      <c r="Q2189" s="4" t="str">
        <f t="shared" si="110"/>
        <v>甘孜藏族自治州</v>
      </c>
      <c r="R2189" s="4">
        <f t="shared" si="108"/>
        <v>23</v>
      </c>
      <c r="S2189" s="4" t="str">
        <f t="shared" si="109"/>
        <v>四川省</v>
      </c>
    </row>
    <row r="2190" spans="14:19">
      <c r="N2190" s="4">
        <v>2189</v>
      </c>
      <c r="O2190" s="4" t="s">
        <v>3050</v>
      </c>
      <c r="P2190" s="4">
        <v>254</v>
      </c>
      <c r="Q2190" s="4" t="str">
        <f t="shared" si="110"/>
        <v>甘孜藏族自治州</v>
      </c>
      <c r="R2190" s="4">
        <f t="shared" si="108"/>
        <v>23</v>
      </c>
      <c r="S2190" s="4" t="str">
        <f t="shared" si="109"/>
        <v>四川省</v>
      </c>
    </row>
    <row r="2191" spans="14:19">
      <c r="N2191" s="4">
        <v>2190</v>
      </c>
      <c r="O2191" s="4" t="s">
        <v>3051</v>
      </c>
      <c r="P2191" s="4">
        <v>254</v>
      </c>
      <c r="Q2191" s="4" t="str">
        <f t="shared" si="110"/>
        <v>甘孜藏族自治州</v>
      </c>
      <c r="R2191" s="4">
        <f t="shared" si="108"/>
        <v>23</v>
      </c>
      <c r="S2191" s="4" t="str">
        <f t="shared" si="109"/>
        <v>四川省</v>
      </c>
    </row>
    <row r="2192" spans="14:19">
      <c r="N2192" s="4">
        <v>2191</v>
      </c>
      <c r="O2192" s="4" t="s">
        <v>3052</v>
      </c>
      <c r="P2192" s="4">
        <v>254</v>
      </c>
      <c r="Q2192" s="4" t="str">
        <f t="shared" si="110"/>
        <v>甘孜藏族自治州</v>
      </c>
      <c r="R2192" s="4">
        <f t="shared" si="108"/>
        <v>23</v>
      </c>
      <c r="S2192" s="4" t="str">
        <f t="shared" si="109"/>
        <v>四川省</v>
      </c>
    </row>
    <row r="2193" spans="14:19">
      <c r="N2193" s="4">
        <v>2192</v>
      </c>
      <c r="O2193" s="4" t="s">
        <v>3053</v>
      </c>
      <c r="P2193" s="4">
        <v>254</v>
      </c>
      <c r="Q2193" s="4" t="str">
        <f t="shared" si="110"/>
        <v>甘孜藏族自治州</v>
      </c>
      <c r="R2193" s="4">
        <f t="shared" si="108"/>
        <v>23</v>
      </c>
      <c r="S2193" s="4" t="str">
        <f t="shared" si="109"/>
        <v>四川省</v>
      </c>
    </row>
    <row r="2194" spans="14:19">
      <c r="N2194" s="4">
        <v>2193</v>
      </c>
      <c r="O2194" s="4" t="s">
        <v>3054</v>
      </c>
      <c r="P2194" s="4">
        <v>254</v>
      </c>
      <c r="Q2194" s="4" t="str">
        <f t="shared" si="110"/>
        <v>甘孜藏族自治州</v>
      </c>
      <c r="R2194" s="4">
        <f t="shared" si="108"/>
        <v>23</v>
      </c>
      <c r="S2194" s="4" t="str">
        <f t="shared" si="109"/>
        <v>四川省</v>
      </c>
    </row>
    <row r="2195" spans="14:19">
      <c r="N2195" s="4">
        <v>2194</v>
      </c>
      <c r="O2195" s="4" t="s">
        <v>3055</v>
      </c>
      <c r="P2195" s="4">
        <v>254</v>
      </c>
      <c r="Q2195" s="4" t="str">
        <f t="shared" si="110"/>
        <v>甘孜藏族自治州</v>
      </c>
      <c r="R2195" s="4">
        <f t="shared" si="108"/>
        <v>23</v>
      </c>
      <c r="S2195" s="4" t="str">
        <f t="shared" si="109"/>
        <v>四川省</v>
      </c>
    </row>
    <row r="2196" spans="14:19">
      <c r="N2196" s="4">
        <v>2195</v>
      </c>
      <c r="O2196" s="4" t="s">
        <v>3056</v>
      </c>
      <c r="P2196" s="4">
        <v>254</v>
      </c>
      <c r="Q2196" s="4" t="str">
        <f t="shared" si="110"/>
        <v>甘孜藏族自治州</v>
      </c>
      <c r="R2196" s="4">
        <f t="shared" si="108"/>
        <v>23</v>
      </c>
      <c r="S2196" s="4" t="str">
        <f t="shared" si="109"/>
        <v>四川省</v>
      </c>
    </row>
    <row r="2197" spans="14:19">
      <c r="N2197" s="4">
        <v>2196</v>
      </c>
      <c r="O2197" s="4" t="s">
        <v>3057</v>
      </c>
      <c r="P2197" s="4">
        <v>254</v>
      </c>
      <c r="Q2197" s="4" t="str">
        <f t="shared" si="110"/>
        <v>甘孜藏族自治州</v>
      </c>
      <c r="R2197" s="4">
        <f t="shared" si="108"/>
        <v>23</v>
      </c>
      <c r="S2197" s="4" t="str">
        <f t="shared" si="109"/>
        <v>四川省</v>
      </c>
    </row>
    <row r="2198" spans="14:19">
      <c r="N2198" s="4">
        <v>2197</v>
      </c>
      <c r="O2198" s="4" t="s">
        <v>3058</v>
      </c>
      <c r="P2198" s="4">
        <v>254</v>
      </c>
      <c r="Q2198" s="4" t="str">
        <f t="shared" si="110"/>
        <v>甘孜藏族自治州</v>
      </c>
      <c r="R2198" s="4">
        <f t="shared" si="108"/>
        <v>23</v>
      </c>
      <c r="S2198" s="4" t="str">
        <f t="shared" si="109"/>
        <v>四川省</v>
      </c>
    </row>
    <row r="2199" spans="14:19">
      <c r="N2199" s="4">
        <v>2198</v>
      </c>
      <c r="O2199" s="4" t="s">
        <v>3059</v>
      </c>
      <c r="P2199" s="4">
        <v>254</v>
      </c>
      <c r="Q2199" s="4" t="str">
        <f t="shared" si="110"/>
        <v>甘孜藏族自治州</v>
      </c>
      <c r="R2199" s="4">
        <f t="shared" si="108"/>
        <v>23</v>
      </c>
      <c r="S2199" s="4" t="str">
        <f t="shared" si="109"/>
        <v>四川省</v>
      </c>
    </row>
    <row r="2200" spans="14:19">
      <c r="N2200" s="4">
        <v>2199</v>
      </c>
      <c r="O2200" s="4" t="s">
        <v>3060</v>
      </c>
      <c r="P2200" s="4">
        <v>254</v>
      </c>
      <c r="Q2200" s="4" t="str">
        <f t="shared" si="110"/>
        <v>甘孜藏族自治州</v>
      </c>
      <c r="R2200" s="4">
        <f t="shared" si="108"/>
        <v>23</v>
      </c>
      <c r="S2200" s="4" t="str">
        <f t="shared" si="109"/>
        <v>四川省</v>
      </c>
    </row>
    <row r="2201" spans="14:19">
      <c r="N2201" s="4">
        <v>2200</v>
      </c>
      <c r="O2201" s="4" t="s">
        <v>3061</v>
      </c>
      <c r="P2201" s="4">
        <v>254</v>
      </c>
      <c r="Q2201" s="4" t="str">
        <f t="shared" si="110"/>
        <v>甘孜藏族自治州</v>
      </c>
      <c r="R2201" s="4">
        <f t="shared" si="108"/>
        <v>23</v>
      </c>
      <c r="S2201" s="4" t="str">
        <f t="shared" si="109"/>
        <v>四川省</v>
      </c>
    </row>
    <row r="2202" spans="14:19">
      <c r="N2202" s="4">
        <v>2201</v>
      </c>
      <c r="O2202" s="4" t="s">
        <v>3062</v>
      </c>
      <c r="P2202" s="4">
        <v>254</v>
      </c>
      <c r="Q2202" s="4" t="str">
        <f t="shared" si="110"/>
        <v>甘孜藏族自治州</v>
      </c>
      <c r="R2202" s="4">
        <f t="shared" si="108"/>
        <v>23</v>
      </c>
      <c r="S2202" s="4" t="str">
        <f t="shared" si="109"/>
        <v>四川省</v>
      </c>
    </row>
    <row r="2203" spans="14:19">
      <c r="N2203" s="4">
        <v>2202</v>
      </c>
      <c r="O2203" s="4" t="s">
        <v>3063</v>
      </c>
      <c r="P2203" s="4">
        <v>254</v>
      </c>
      <c r="Q2203" s="4" t="str">
        <f t="shared" si="110"/>
        <v>甘孜藏族自治州</v>
      </c>
      <c r="R2203" s="4">
        <f t="shared" si="108"/>
        <v>23</v>
      </c>
      <c r="S2203" s="4" t="str">
        <f t="shared" si="109"/>
        <v>四川省</v>
      </c>
    </row>
    <row r="2204" spans="14:19">
      <c r="N2204" s="4">
        <v>2203</v>
      </c>
      <c r="O2204" s="4" t="s">
        <v>3064</v>
      </c>
      <c r="P2204" s="4">
        <v>254</v>
      </c>
      <c r="Q2204" s="4" t="str">
        <f t="shared" si="110"/>
        <v>甘孜藏族自治州</v>
      </c>
      <c r="R2204" s="4">
        <f t="shared" si="108"/>
        <v>23</v>
      </c>
      <c r="S2204" s="4" t="str">
        <f t="shared" si="109"/>
        <v>四川省</v>
      </c>
    </row>
    <row r="2205" spans="14:19">
      <c r="N2205" s="4">
        <v>2204</v>
      </c>
      <c r="O2205" s="4" t="s">
        <v>3065</v>
      </c>
      <c r="P2205" s="4">
        <v>255</v>
      </c>
      <c r="Q2205" s="4" t="str">
        <f t="shared" si="110"/>
        <v>凉山彝族自治州</v>
      </c>
      <c r="R2205" s="4">
        <f t="shared" si="108"/>
        <v>23</v>
      </c>
      <c r="S2205" s="4" t="str">
        <f t="shared" si="109"/>
        <v>四川省</v>
      </c>
    </row>
    <row r="2206" spans="14:19">
      <c r="N2206" s="4">
        <v>2205</v>
      </c>
      <c r="O2206" s="4" t="s">
        <v>3066</v>
      </c>
      <c r="P2206" s="4">
        <v>255</v>
      </c>
      <c r="Q2206" s="4" t="str">
        <f t="shared" si="110"/>
        <v>凉山彝族自治州</v>
      </c>
      <c r="R2206" s="4">
        <f t="shared" si="108"/>
        <v>23</v>
      </c>
      <c r="S2206" s="4" t="str">
        <f t="shared" si="109"/>
        <v>四川省</v>
      </c>
    </row>
    <row r="2207" spans="14:19">
      <c r="N2207" s="4">
        <v>2206</v>
      </c>
      <c r="O2207" s="4" t="s">
        <v>3067</v>
      </c>
      <c r="P2207" s="4">
        <v>255</v>
      </c>
      <c r="Q2207" s="4" t="str">
        <f t="shared" si="110"/>
        <v>凉山彝族自治州</v>
      </c>
      <c r="R2207" s="4">
        <f t="shared" si="108"/>
        <v>23</v>
      </c>
      <c r="S2207" s="4" t="str">
        <f t="shared" si="109"/>
        <v>四川省</v>
      </c>
    </row>
    <row r="2208" spans="14:19">
      <c r="N2208" s="4">
        <v>2207</v>
      </c>
      <c r="O2208" s="4" t="s">
        <v>3068</v>
      </c>
      <c r="P2208" s="4">
        <v>255</v>
      </c>
      <c r="Q2208" s="4" t="str">
        <f t="shared" si="110"/>
        <v>凉山彝族自治州</v>
      </c>
      <c r="R2208" s="4">
        <f t="shared" si="108"/>
        <v>23</v>
      </c>
      <c r="S2208" s="4" t="str">
        <f t="shared" si="109"/>
        <v>四川省</v>
      </c>
    </row>
    <row r="2209" spans="14:19">
      <c r="N2209" s="4">
        <v>2208</v>
      </c>
      <c r="O2209" s="4" t="s">
        <v>3069</v>
      </c>
      <c r="P2209" s="4">
        <v>255</v>
      </c>
      <c r="Q2209" s="4" t="str">
        <f t="shared" si="110"/>
        <v>凉山彝族自治州</v>
      </c>
      <c r="R2209" s="4">
        <f t="shared" si="108"/>
        <v>23</v>
      </c>
      <c r="S2209" s="4" t="str">
        <f t="shared" si="109"/>
        <v>四川省</v>
      </c>
    </row>
    <row r="2210" spans="14:19">
      <c r="N2210" s="4">
        <v>2209</v>
      </c>
      <c r="O2210" s="4" t="s">
        <v>3070</v>
      </c>
      <c r="P2210" s="4">
        <v>255</v>
      </c>
      <c r="Q2210" s="4" t="str">
        <f t="shared" si="110"/>
        <v>凉山彝族自治州</v>
      </c>
      <c r="R2210" s="4">
        <f t="shared" si="108"/>
        <v>23</v>
      </c>
      <c r="S2210" s="4" t="str">
        <f t="shared" si="109"/>
        <v>四川省</v>
      </c>
    </row>
    <row r="2211" spans="14:19">
      <c r="N2211" s="4">
        <v>2210</v>
      </c>
      <c r="O2211" s="4" t="s">
        <v>3071</v>
      </c>
      <c r="P2211" s="4">
        <v>255</v>
      </c>
      <c r="Q2211" s="4" t="str">
        <f t="shared" si="110"/>
        <v>凉山彝族自治州</v>
      </c>
      <c r="R2211" s="4">
        <f t="shared" si="108"/>
        <v>23</v>
      </c>
      <c r="S2211" s="4" t="str">
        <f t="shared" si="109"/>
        <v>四川省</v>
      </c>
    </row>
    <row r="2212" spans="14:19">
      <c r="N2212" s="4">
        <v>2211</v>
      </c>
      <c r="O2212" s="4" t="s">
        <v>3072</v>
      </c>
      <c r="P2212" s="4">
        <v>255</v>
      </c>
      <c r="Q2212" s="4" t="str">
        <f t="shared" si="110"/>
        <v>凉山彝族自治州</v>
      </c>
      <c r="R2212" s="4">
        <f t="shared" si="108"/>
        <v>23</v>
      </c>
      <c r="S2212" s="4" t="str">
        <f t="shared" si="109"/>
        <v>四川省</v>
      </c>
    </row>
    <row r="2213" spans="14:19">
      <c r="N2213" s="4">
        <v>2212</v>
      </c>
      <c r="O2213" s="4" t="s">
        <v>3073</v>
      </c>
      <c r="P2213" s="4">
        <v>255</v>
      </c>
      <c r="Q2213" s="4" t="str">
        <f t="shared" si="110"/>
        <v>凉山彝族自治州</v>
      </c>
      <c r="R2213" s="4">
        <f t="shared" si="108"/>
        <v>23</v>
      </c>
      <c r="S2213" s="4" t="str">
        <f t="shared" si="109"/>
        <v>四川省</v>
      </c>
    </row>
    <row r="2214" spans="14:19">
      <c r="N2214" s="4">
        <v>2213</v>
      </c>
      <c r="O2214" s="4" t="s">
        <v>3074</v>
      </c>
      <c r="P2214" s="4">
        <v>255</v>
      </c>
      <c r="Q2214" s="4" t="str">
        <f t="shared" si="110"/>
        <v>凉山彝族自治州</v>
      </c>
      <c r="R2214" s="4">
        <f t="shared" si="108"/>
        <v>23</v>
      </c>
      <c r="S2214" s="4" t="str">
        <f t="shared" si="109"/>
        <v>四川省</v>
      </c>
    </row>
    <row r="2215" spans="14:19">
      <c r="N2215" s="4">
        <v>2214</v>
      </c>
      <c r="O2215" s="4" t="s">
        <v>3075</v>
      </c>
      <c r="P2215" s="4">
        <v>255</v>
      </c>
      <c r="Q2215" s="4" t="str">
        <f t="shared" si="110"/>
        <v>凉山彝族自治州</v>
      </c>
      <c r="R2215" s="4">
        <f t="shared" si="108"/>
        <v>23</v>
      </c>
      <c r="S2215" s="4" t="str">
        <f t="shared" si="109"/>
        <v>四川省</v>
      </c>
    </row>
    <row r="2216" spans="14:19">
      <c r="N2216" s="4">
        <v>2215</v>
      </c>
      <c r="O2216" s="4" t="s">
        <v>3076</v>
      </c>
      <c r="P2216" s="4">
        <v>255</v>
      </c>
      <c r="Q2216" s="4" t="str">
        <f t="shared" si="110"/>
        <v>凉山彝族自治州</v>
      </c>
      <c r="R2216" s="4">
        <f t="shared" si="108"/>
        <v>23</v>
      </c>
      <c r="S2216" s="4" t="str">
        <f t="shared" si="109"/>
        <v>四川省</v>
      </c>
    </row>
    <row r="2217" spans="14:19">
      <c r="N2217" s="4">
        <v>2216</v>
      </c>
      <c r="O2217" s="4" t="s">
        <v>3077</v>
      </c>
      <c r="P2217" s="4">
        <v>255</v>
      </c>
      <c r="Q2217" s="4" t="str">
        <f t="shared" si="110"/>
        <v>凉山彝族自治州</v>
      </c>
      <c r="R2217" s="4">
        <f t="shared" si="108"/>
        <v>23</v>
      </c>
      <c r="S2217" s="4" t="str">
        <f t="shared" si="109"/>
        <v>四川省</v>
      </c>
    </row>
    <row r="2218" spans="14:19">
      <c r="N2218" s="4">
        <v>2217</v>
      </c>
      <c r="O2218" s="4" t="s">
        <v>3078</v>
      </c>
      <c r="P2218" s="4">
        <v>255</v>
      </c>
      <c r="Q2218" s="4" t="str">
        <f t="shared" si="110"/>
        <v>凉山彝族自治州</v>
      </c>
      <c r="R2218" s="4">
        <f t="shared" si="108"/>
        <v>23</v>
      </c>
      <c r="S2218" s="4" t="str">
        <f t="shared" si="109"/>
        <v>四川省</v>
      </c>
    </row>
    <row r="2219" spans="14:19">
      <c r="N2219" s="4">
        <v>2218</v>
      </c>
      <c r="O2219" s="4" t="s">
        <v>3079</v>
      </c>
      <c r="P2219" s="4">
        <v>255</v>
      </c>
      <c r="Q2219" s="4" t="str">
        <f t="shared" si="110"/>
        <v>凉山彝族自治州</v>
      </c>
      <c r="R2219" s="4">
        <f t="shared" si="108"/>
        <v>23</v>
      </c>
      <c r="S2219" s="4" t="str">
        <f t="shared" si="109"/>
        <v>四川省</v>
      </c>
    </row>
    <row r="2220" spans="14:19">
      <c r="N2220" s="4">
        <v>2219</v>
      </c>
      <c r="O2220" s="4" t="s">
        <v>3080</v>
      </c>
      <c r="P2220" s="4">
        <v>255</v>
      </c>
      <c r="Q2220" s="4" t="str">
        <f t="shared" si="110"/>
        <v>凉山彝族自治州</v>
      </c>
      <c r="R2220" s="4">
        <f t="shared" si="108"/>
        <v>23</v>
      </c>
      <c r="S2220" s="4" t="str">
        <f t="shared" si="109"/>
        <v>四川省</v>
      </c>
    </row>
    <row r="2221" spans="14:19">
      <c r="N2221" s="4">
        <v>2220</v>
      </c>
      <c r="O2221" s="4" t="s">
        <v>3081</v>
      </c>
      <c r="P2221" s="4">
        <v>255</v>
      </c>
      <c r="Q2221" s="4" t="str">
        <f t="shared" si="110"/>
        <v>凉山彝族自治州</v>
      </c>
      <c r="R2221" s="4">
        <f t="shared" si="108"/>
        <v>23</v>
      </c>
      <c r="S2221" s="4" t="str">
        <f t="shared" si="109"/>
        <v>四川省</v>
      </c>
    </row>
    <row r="2222" spans="14:19">
      <c r="N2222" s="4">
        <v>2221</v>
      </c>
      <c r="O2222" s="4" t="s">
        <v>3082</v>
      </c>
      <c r="P2222" s="4">
        <v>256</v>
      </c>
      <c r="Q2222" s="4" t="str">
        <f t="shared" si="110"/>
        <v>贵阳市</v>
      </c>
      <c r="R2222" s="4">
        <f t="shared" si="108"/>
        <v>24</v>
      </c>
      <c r="S2222" s="4" t="str">
        <f t="shared" si="109"/>
        <v>贵州省</v>
      </c>
    </row>
    <row r="2223" spans="14:19">
      <c r="N2223" s="4">
        <v>2222</v>
      </c>
      <c r="O2223" s="4" t="s">
        <v>3083</v>
      </c>
      <c r="P2223" s="4">
        <v>256</v>
      </c>
      <c r="Q2223" s="4" t="str">
        <f t="shared" si="110"/>
        <v>贵阳市</v>
      </c>
      <c r="R2223" s="4">
        <f t="shared" si="108"/>
        <v>24</v>
      </c>
      <c r="S2223" s="4" t="str">
        <f t="shared" si="109"/>
        <v>贵州省</v>
      </c>
    </row>
    <row r="2224" spans="14:19">
      <c r="N2224" s="4">
        <v>2223</v>
      </c>
      <c r="O2224" s="4" t="s">
        <v>3084</v>
      </c>
      <c r="P2224" s="4">
        <v>256</v>
      </c>
      <c r="Q2224" s="4" t="str">
        <f t="shared" si="110"/>
        <v>贵阳市</v>
      </c>
      <c r="R2224" s="4">
        <f t="shared" si="108"/>
        <v>24</v>
      </c>
      <c r="S2224" s="4" t="str">
        <f t="shared" si="109"/>
        <v>贵州省</v>
      </c>
    </row>
    <row r="2225" spans="14:19">
      <c r="N2225" s="4">
        <v>2224</v>
      </c>
      <c r="O2225" s="4" t="s">
        <v>3085</v>
      </c>
      <c r="P2225" s="4">
        <v>256</v>
      </c>
      <c r="Q2225" s="4" t="str">
        <f t="shared" si="110"/>
        <v>贵阳市</v>
      </c>
      <c r="R2225" s="4">
        <f t="shared" si="108"/>
        <v>24</v>
      </c>
      <c r="S2225" s="4" t="str">
        <f t="shared" si="109"/>
        <v>贵州省</v>
      </c>
    </row>
    <row r="2226" spans="14:19">
      <c r="N2226" s="4">
        <v>2225</v>
      </c>
      <c r="O2226" s="4" t="s">
        <v>2623</v>
      </c>
      <c r="P2226" s="4">
        <v>256</v>
      </c>
      <c r="Q2226" s="4" t="str">
        <f t="shared" si="110"/>
        <v>贵阳市</v>
      </c>
      <c r="R2226" s="4">
        <f t="shared" si="108"/>
        <v>24</v>
      </c>
      <c r="S2226" s="4" t="str">
        <f t="shared" si="109"/>
        <v>贵州省</v>
      </c>
    </row>
    <row r="2227" spans="14:19">
      <c r="N2227" s="4">
        <v>2226</v>
      </c>
      <c r="O2227" s="4" t="s">
        <v>3086</v>
      </c>
      <c r="P2227" s="4">
        <v>256</v>
      </c>
      <c r="Q2227" s="4" t="str">
        <f t="shared" si="110"/>
        <v>贵阳市</v>
      </c>
      <c r="R2227" s="4">
        <f t="shared" si="108"/>
        <v>24</v>
      </c>
      <c r="S2227" s="4" t="str">
        <f t="shared" si="109"/>
        <v>贵州省</v>
      </c>
    </row>
    <row r="2228" spans="14:19">
      <c r="N2228" s="4">
        <v>2227</v>
      </c>
      <c r="O2228" s="4" t="s">
        <v>3087</v>
      </c>
      <c r="P2228" s="4">
        <v>256</v>
      </c>
      <c r="Q2228" s="4" t="str">
        <f t="shared" si="110"/>
        <v>贵阳市</v>
      </c>
      <c r="R2228" s="4">
        <f t="shared" si="108"/>
        <v>24</v>
      </c>
      <c r="S2228" s="4" t="str">
        <f t="shared" si="109"/>
        <v>贵州省</v>
      </c>
    </row>
    <row r="2229" spans="14:19">
      <c r="N2229" s="4">
        <v>2228</v>
      </c>
      <c r="O2229" s="4" t="s">
        <v>3088</v>
      </c>
      <c r="P2229" s="4">
        <v>256</v>
      </c>
      <c r="Q2229" s="4" t="str">
        <f t="shared" si="110"/>
        <v>贵阳市</v>
      </c>
      <c r="R2229" s="4">
        <f t="shared" si="108"/>
        <v>24</v>
      </c>
      <c r="S2229" s="4" t="str">
        <f t="shared" si="109"/>
        <v>贵州省</v>
      </c>
    </row>
    <row r="2230" spans="14:19">
      <c r="N2230" s="4">
        <v>2229</v>
      </c>
      <c r="O2230" s="4" t="s">
        <v>3089</v>
      </c>
      <c r="P2230" s="4">
        <v>256</v>
      </c>
      <c r="Q2230" s="4" t="str">
        <f t="shared" si="110"/>
        <v>贵阳市</v>
      </c>
      <c r="R2230" s="4">
        <f t="shared" si="108"/>
        <v>24</v>
      </c>
      <c r="S2230" s="4" t="str">
        <f t="shared" si="109"/>
        <v>贵州省</v>
      </c>
    </row>
    <row r="2231" spans="14:19">
      <c r="N2231" s="4">
        <v>2230</v>
      </c>
      <c r="O2231" s="4" t="s">
        <v>3090</v>
      </c>
      <c r="P2231" s="4">
        <v>256</v>
      </c>
      <c r="Q2231" s="4" t="str">
        <f t="shared" si="110"/>
        <v>贵阳市</v>
      </c>
      <c r="R2231" s="4">
        <f t="shared" si="108"/>
        <v>24</v>
      </c>
      <c r="S2231" s="4" t="str">
        <f t="shared" si="109"/>
        <v>贵州省</v>
      </c>
    </row>
    <row r="2232" spans="14:19">
      <c r="N2232" s="4">
        <v>2231</v>
      </c>
      <c r="O2232" s="4" t="s">
        <v>3091</v>
      </c>
      <c r="P2232" s="4">
        <v>257</v>
      </c>
      <c r="Q2232" s="4" t="str">
        <f t="shared" si="110"/>
        <v>六盘水市</v>
      </c>
      <c r="R2232" s="4">
        <f t="shared" si="108"/>
        <v>24</v>
      </c>
      <c r="S2232" s="4" t="str">
        <f t="shared" si="109"/>
        <v>贵州省</v>
      </c>
    </row>
    <row r="2233" spans="14:19">
      <c r="N2233" s="4">
        <v>2232</v>
      </c>
      <c r="O2233" s="4" t="s">
        <v>3092</v>
      </c>
      <c r="P2233" s="4">
        <v>257</v>
      </c>
      <c r="Q2233" s="4" t="str">
        <f t="shared" si="110"/>
        <v>六盘水市</v>
      </c>
      <c r="R2233" s="4">
        <f t="shared" si="108"/>
        <v>24</v>
      </c>
      <c r="S2233" s="4" t="str">
        <f t="shared" si="109"/>
        <v>贵州省</v>
      </c>
    </row>
    <row r="2234" spans="14:19">
      <c r="N2234" s="4">
        <v>2233</v>
      </c>
      <c r="O2234" s="4" t="s">
        <v>3093</v>
      </c>
      <c r="P2234" s="4">
        <v>257</v>
      </c>
      <c r="Q2234" s="4" t="str">
        <f t="shared" si="110"/>
        <v>六盘水市</v>
      </c>
      <c r="R2234" s="4">
        <f t="shared" si="108"/>
        <v>24</v>
      </c>
      <c r="S2234" s="4" t="str">
        <f t="shared" si="109"/>
        <v>贵州省</v>
      </c>
    </row>
    <row r="2235" spans="14:19">
      <c r="N2235" s="4">
        <v>2234</v>
      </c>
      <c r="O2235" s="4" t="s">
        <v>3094</v>
      </c>
      <c r="P2235" s="4">
        <v>257</v>
      </c>
      <c r="Q2235" s="4" t="str">
        <f t="shared" si="110"/>
        <v>六盘水市</v>
      </c>
      <c r="R2235" s="4">
        <f t="shared" si="108"/>
        <v>24</v>
      </c>
      <c r="S2235" s="4" t="str">
        <f t="shared" si="109"/>
        <v>贵州省</v>
      </c>
    </row>
    <row r="2236" spans="14:19">
      <c r="N2236" s="4">
        <v>2235</v>
      </c>
      <c r="O2236" s="4" t="s">
        <v>3095</v>
      </c>
      <c r="P2236" s="4">
        <v>258</v>
      </c>
      <c r="Q2236" s="4" t="str">
        <f t="shared" si="110"/>
        <v>遵义市</v>
      </c>
      <c r="R2236" s="4">
        <f t="shared" si="108"/>
        <v>24</v>
      </c>
      <c r="S2236" s="4" t="str">
        <f t="shared" si="109"/>
        <v>贵州省</v>
      </c>
    </row>
    <row r="2237" spans="14:19">
      <c r="N2237" s="4">
        <v>2236</v>
      </c>
      <c r="O2237" s="4" t="s">
        <v>3096</v>
      </c>
      <c r="P2237" s="4">
        <v>258</v>
      </c>
      <c r="Q2237" s="4" t="str">
        <f t="shared" si="110"/>
        <v>遵义市</v>
      </c>
      <c r="R2237" s="4">
        <f t="shared" si="108"/>
        <v>24</v>
      </c>
      <c r="S2237" s="4" t="str">
        <f t="shared" si="109"/>
        <v>贵州省</v>
      </c>
    </row>
    <row r="2238" spans="14:19">
      <c r="N2238" s="4">
        <v>2237</v>
      </c>
      <c r="O2238" s="4" t="s">
        <v>3097</v>
      </c>
      <c r="P2238" s="4">
        <v>258</v>
      </c>
      <c r="Q2238" s="4" t="str">
        <f t="shared" si="110"/>
        <v>遵义市</v>
      </c>
      <c r="R2238" s="4">
        <f t="shared" si="108"/>
        <v>24</v>
      </c>
      <c r="S2238" s="4" t="str">
        <f t="shared" si="109"/>
        <v>贵州省</v>
      </c>
    </row>
    <row r="2239" spans="14:19">
      <c r="N2239" s="4">
        <v>2238</v>
      </c>
      <c r="O2239" s="4" t="s">
        <v>3098</v>
      </c>
      <c r="P2239" s="4">
        <v>258</v>
      </c>
      <c r="Q2239" s="4" t="str">
        <f t="shared" si="110"/>
        <v>遵义市</v>
      </c>
      <c r="R2239" s="4">
        <f t="shared" si="108"/>
        <v>24</v>
      </c>
      <c r="S2239" s="4" t="str">
        <f t="shared" si="109"/>
        <v>贵州省</v>
      </c>
    </row>
    <row r="2240" spans="14:19">
      <c r="N2240" s="4">
        <v>2239</v>
      </c>
      <c r="O2240" s="4" t="s">
        <v>3099</v>
      </c>
      <c r="P2240" s="4">
        <v>258</v>
      </c>
      <c r="Q2240" s="4" t="str">
        <f t="shared" si="110"/>
        <v>遵义市</v>
      </c>
      <c r="R2240" s="4">
        <f t="shared" si="108"/>
        <v>24</v>
      </c>
      <c r="S2240" s="4" t="str">
        <f t="shared" si="109"/>
        <v>贵州省</v>
      </c>
    </row>
    <row r="2241" spans="14:19">
      <c r="N2241" s="4">
        <v>2240</v>
      </c>
      <c r="O2241" s="4" t="s">
        <v>3100</v>
      </c>
      <c r="P2241" s="4">
        <v>258</v>
      </c>
      <c r="Q2241" s="4" t="str">
        <f t="shared" si="110"/>
        <v>遵义市</v>
      </c>
      <c r="R2241" s="4">
        <f t="shared" si="108"/>
        <v>24</v>
      </c>
      <c r="S2241" s="4" t="str">
        <f t="shared" si="109"/>
        <v>贵州省</v>
      </c>
    </row>
    <row r="2242" spans="14:19">
      <c r="N2242" s="4">
        <v>2241</v>
      </c>
      <c r="O2242" s="4" t="s">
        <v>3101</v>
      </c>
      <c r="P2242" s="4">
        <v>258</v>
      </c>
      <c r="Q2242" s="4" t="str">
        <f t="shared" si="110"/>
        <v>遵义市</v>
      </c>
      <c r="R2242" s="4">
        <f t="shared" ref="R2242:R2305" si="111">VLOOKUP(P2242,$I$2:$M$346,3,FALSE)</f>
        <v>24</v>
      </c>
      <c r="S2242" s="4" t="str">
        <f t="shared" ref="S2242:S2305" si="112">VLOOKUP(P2242,$I$2:$M$346,4,FALSE)</f>
        <v>贵州省</v>
      </c>
    </row>
    <row r="2243" spans="14:19">
      <c r="N2243" s="4">
        <v>2242</v>
      </c>
      <c r="O2243" s="4" t="s">
        <v>3102</v>
      </c>
      <c r="P2243" s="4">
        <v>258</v>
      </c>
      <c r="Q2243" s="4" t="str">
        <f t="shared" ref="Q2243:Q2306" si="113">VLOOKUP(P2243,$I$2:$J$346,2,FALSE)</f>
        <v>遵义市</v>
      </c>
      <c r="R2243" s="4">
        <f t="shared" si="111"/>
        <v>24</v>
      </c>
      <c r="S2243" s="4" t="str">
        <f t="shared" si="112"/>
        <v>贵州省</v>
      </c>
    </row>
    <row r="2244" spans="14:19">
      <c r="N2244" s="4">
        <v>2243</v>
      </c>
      <c r="O2244" s="4" t="s">
        <v>3103</v>
      </c>
      <c r="P2244" s="4">
        <v>258</v>
      </c>
      <c r="Q2244" s="4" t="str">
        <f t="shared" si="113"/>
        <v>遵义市</v>
      </c>
      <c r="R2244" s="4">
        <f t="shared" si="111"/>
        <v>24</v>
      </c>
      <c r="S2244" s="4" t="str">
        <f t="shared" si="112"/>
        <v>贵州省</v>
      </c>
    </row>
    <row r="2245" spans="14:19">
      <c r="N2245" s="4">
        <v>2244</v>
      </c>
      <c r="O2245" s="4" t="s">
        <v>3104</v>
      </c>
      <c r="P2245" s="4">
        <v>258</v>
      </c>
      <c r="Q2245" s="4" t="str">
        <f t="shared" si="113"/>
        <v>遵义市</v>
      </c>
      <c r="R2245" s="4">
        <f t="shared" si="111"/>
        <v>24</v>
      </c>
      <c r="S2245" s="4" t="str">
        <f t="shared" si="112"/>
        <v>贵州省</v>
      </c>
    </row>
    <row r="2246" spans="14:19">
      <c r="N2246" s="4">
        <v>2245</v>
      </c>
      <c r="O2246" s="4" t="s">
        <v>3105</v>
      </c>
      <c r="P2246" s="4">
        <v>258</v>
      </c>
      <c r="Q2246" s="4" t="str">
        <f t="shared" si="113"/>
        <v>遵义市</v>
      </c>
      <c r="R2246" s="4">
        <f t="shared" si="111"/>
        <v>24</v>
      </c>
      <c r="S2246" s="4" t="str">
        <f t="shared" si="112"/>
        <v>贵州省</v>
      </c>
    </row>
    <row r="2247" spans="14:19">
      <c r="N2247" s="4">
        <v>2246</v>
      </c>
      <c r="O2247" s="4" t="s">
        <v>3106</v>
      </c>
      <c r="P2247" s="4">
        <v>258</v>
      </c>
      <c r="Q2247" s="4" t="str">
        <f t="shared" si="113"/>
        <v>遵义市</v>
      </c>
      <c r="R2247" s="4">
        <f t="shared" si="111"/>
        <v>24</v>
      </c>
      <c r="S2247" s="4" t="str">
        <f t="shared" si="112"/>
        <v>贵州省</v>
      </c>
    </row>
    <row r="2248" spans="14:19">
      <c r="N2248" s="4">
        <v>2247</v>
      </c>
      <c r="O2248" s="4" t="s">
        <v>3107</v>
      </c>
      <c r="P2248" s="4">
        <v>258</v>
      </c>
      <c r="Q2248" s="4" t="str">
        <f t="shared" si="113"/>
        <v>遵义市</v>
      </c>
      <c r="R2248" s="4">
        <f t="shared" si="111"/>
        <v>24</v>
      </c>
      <c r="S2248" s="4" t="str">
        <f t="shared" si="112"/>
        <v>贵州省</v>
      </c>
    </row>
    <row r="2249" spans="14:19">
      <c r="N2249" s="4">
        <v>2248</v>
      </c>
      <c r="O2249" s="4" t="s">
        <v>3108</v>
      </c>
      <c r="P2249" s="4">
        <v>258</v>
      </c>
      <c r="Q2249" s="4" t="str">
        <f t="shared" si="113"/>
        <v>遵义市</v>
      </c>
      <c r="R2249" s="4">
        <f t="shared" si="111"/>
        <v>24</v>
      </c>
      <c r="S2249" s="4" t="str">
        <f t="shared" si="112"/>
        <v>贵州省</v>
      </c>
    </row>
    <row r="2250" spans="14:19">
      <c r="N2250" s="4">
        <v>2249</v>
      </c>
      <c r="O2250" s="4" t="s">
        <v>3109</v>
      </c>
      <c r="P2250" s="4">
        <v>259</v>
      </c>
      <c r="Q2250" s="4" t="str">
        <f t="shared" si="113"/>
        <v>安顺市</v>
      </c>
      <c r="R2250" s="4">
        <f t="shared" si="111"/>
        <v>24</v>
      </c>
      <c r="S2250" s="4" t="str">
        <f t="shared" si="112"/>
        <v>贵州省</v>
      </c>
    </row>
    <row r="2251" spans="14:19">
      <c r="N2251" s="4">
        <v>2250</v>
      </c>
      <c r="O2251" s="4" t="s">
        <v>3110</v>
      </c>
      <c r="P2251" s="4">
        <v>259</v>
      </c>
      <c r="Q2251" s="4" t="str">
        <f t="shared" si="113"/>
        <v>安顺市</v>
      </c>
      <c r="R2251" s="4">
        <f t="shared" si="111"/>
        <v>24</v>
      </c>
      <c r="S2251" s="4" t="str">
        <f t="shared" si="112"/>
        <v>贵州省</v>
      </c>
    </row>
    <row r="2252" spans="14:19">
      <c r="N2252" s="4">
        <v>2251</v>
      </c>
      <c r="O2252" s="4" t="s">
        <v>3111</v>
      </c>
      <c r="P2252" s="4">
        <v>259</v>
      </c>
      <c r="Q2252" s="4" t="str">
        <f t="shared" si="113"/>
        <v>安顺市</v>
      </c>
      <c r="R2252" s="4">
        <f t="shared" si="111"/>
        <v>24</v>
      </c>
      <c r="S2252" s="4" t="str">
        <f t="shared" si="112"/>
        <v>贵州省</v>
      </c>
    </row>
    <row r="2253" spans="14:19">
      <c r="N2253" s="4">
        <v>2252</v>
      </c>
      <c r="O2253" s="4" t="s">
        <v>3112</v>
      </c>
      <c r="P2253" s="4">
        <v>259</v>
      </c>
      <c r="Q2253" s="4" t="str">
        <f t="shared" si="113"/>
        <v>安顺市</v>
      </c>
      <c r="R2253" s="4">
        <f t="shared" si="111"/>
        <v>24</v>
      </c>
      <c r="S2253" s="4" t="str">
        <f t="shared" si="112"/>
        <v>贵州省</v>
      </c>
    </row>
    <row r="2254" spans="14:19">
      <c r="N2254" s="4">
        <v>2253</v>
      </c>
      <c r="O2254" s="4" t="s">
        <v>3113</v>
      </c>
      <c r="P2254" s="4">
        <v>259</v>
      </c>
      <c r="Q2254" s="4" t="str">
        <f t="shared" si="113"/>
        <v>安顺市</v>
      </c>
      <c r="R2254" s="4">
        <f t="shared" si="111"/>
        <v>24</v>
      </c>
      <c r="S2254" s="4" t="str">
        <f t="shared" si="112"/>
        <v>贵州省</v>
      </c>
    </row>
    <row r="2255" spans="14:19">
      <c r="N2255" s="4">
        <v>2254</v>
      </c>
      <c r="O2255" s="4" t="s">
        <v>3114</v>
      </c>
      <c r="P2255" s="4">
        <v>259</v>
      </c>
      <c r="Q2255" s="4" t="str">
        <f t="shared" si="113"/>
        <v>安顺市</v>
      </c>
      <c r="R2255" s="4">
        <f t="shared" si="111"/>
        <v>24</v>
      </c>
      <c r="S2255" s="4" t="str">
        <f t="shared" si="112"/>
        <v>贵州省</v>
      </c>
    </row>
    <row r="2256" spans="14:19">
      <c r="N2256" s="4">
        <v>2255</v>
      </c>
      <c r="O2256" s="4" t="s">
        <v>3115</v>
      </c>
      <c r="P2256" s="4">
        <v>260</v>
      </c>
      <c r="Q2256" s="4" t="str">
        <f t="shared" si="113"/>
        <v>铜仁地区</v>
      </c>
      <c r="R2256" s="4">
        <f t="shared" si="111"/>
        <v>24</v>
      </c>
      <c r="S2256" s="4" t="str">
        <f t="shared" si="112"/>
        <v>贵州省</v>
      </c>
    </row>
    <row r="2257" spans="14:19">
      <c r="N2257" s="4">
        <v>2256</v>
      </c>
      <c r="O2257" s="4" t="s">
        <v>3116</v>
      </c>
      <c r="P2257" s="4">
        <v>260</v>
      </c>
      <c r="Q2257" s="4" t="str">
        <f t="shared" si="113"/>
        <v>铜仁地区</v>
      </c>
      <c r="R2257" s="4">
        <f t="shared" si="111"/>
        <v>24</v>
      </c>
      <c r="S2257" s="4" t="str">
        <f t="shared" si="112"/>
        <v>贵州省</v>
      </c>
    </row>
    <row r="2258" spans="14:19">
      <c r="N2258" s="4">
        <v>2257</v>
      </c>
      <c r="O2258" s="4" t="s">
        <v>3117</v>
      </c>
      <c r="P2258" s="4">
        <v>260</v>
      </c>
      <c r="Q2258" s="4" t="str">
        <f t="shared" si="113"/>
        <v>铜仁地区</v>
      </c>
      <c r="R2258" s="4">
        <f t="shared" si="111"/>
        <v>24</v>
      </c>
      <c r="S2258" s="4" t="str">
        <f t="shared" si="112"/>
        <v>贵州省</v>
      </c>
    </row>
    <row r="2259" spans="14:19">
      <c r="N2259" s="4">
        <v>2258</v>
      </c>
      <c r="O2259" s="4" t="s">
        <v>3118</v>
      </c>
      <c r="P2259" s="4">
        <v>260</v>
      </c>
      <c r="Q2259" s="4" t="str">
        <f t="shared" si="113"/>
        <v>铜仁地区</v>
      </c>
      <c r="R2259" s="4">
        <f t="shared" si="111"/>
        <v>24</v>
      </c>
      <c r="S2259" s="4" t="str">
        <f t="shared" si="112"/>
        <v>贵州省</v>
      </c>
    </row>
    <row r="2260" spans="14:19">
      <c r="N2260" s="4">
        <v>2259</v>
      </c>
      <c r="O2260" s="4" t="s">
        <v>3119</v>
      </c>
      <c r="P2260" s="4">
        <v>260</v>
      </c>
      <c r="Q2260" s="4" t="str">
        <f t="shared" si="113"/>
        <v>铜仁地区</v>
      </c>
      <c r="R2260" s="4">
        <f t="shared" si="111"/>
        <v>24</v>
      </c>
      <c r="S2260" s="4" t="str">
        <f t="shared" si="112"/>
        <v>贵州省</v>
      </c>
    </row>
    <row r="2261" spans="14:19">
      <c r="N2261" s="4">
        <v>2260</v>
      </c>
      <c r="O2261" s="4" t="s">
        <v>3120</v>
      </c>
      <c r="P2261" s="4">
        <v>260</v>
      </c>
      <c r="Q2261" s="4" t="str">
        <f t="shared" si="113"/>
        <v>铜仁地区</v>
      </c>
      <c r="R2261" s="4">
        <f t="shared" si="111"/>
        <v>24</v>
      </c>
      <c r="S2261" s="4" t="str">
        <f t="shared" si="112"/>
        <v>贵州省</v>
      </c>
    </row>
    <row r="2262" spans="14:19">
      <c r="N2262" s="4">
        <v>2261</v>
      </c>
      <c r="O2262" s="4" t="s">
        <v>3121</v>
      </c>
      <c r="P2262" s="4">
        <v>260</v>
      </c>
      <c r="Q2262" s="4" t="str">
        <f t="shared" si="113"/>
        <v>铜仁地区</v>
      </c>
      <c r="R2262" s="4">
        <f t="shared" si="111"/>
        <v>24</v>
      </c>
      <c r="S2262" s="4" t="str">
        <f t="shared" si="112"/>
        <v>贵州省</v>
      </c>
    </row>
    <row r="2263" spans="14:19">
      <c r="N2263" s="4">
        <v>2262</v>
      </c>
      <c r="O2263" s="4" t="s">
        <v>3122</v>
      </c>
      <c r="P2263" s="4">
        <v>260</v>
      </c>
      <c r="Q2263" s="4" t="str">
        <f t="shared" si="113"/>
        <v>铜仁地区</v>
      </c>
      <c r="R2263" s="4">
        <f t="shared" si="111"/>
        <v>24</v>
      </c>
      <c r="S2263" s="4" t="str">
        <f t="shared" si="112"/>
        <v>贵州省</v>
      </c>
    </row>
    <row r="2264" spans="14:19">
      <c r="N2264" s="4">
        <v>2263</v>
      </c>
      <c r="O2264" s="4" t="s">
        <v>3123</v>
      </c>
      <c r="P2264" s="4">
        <v>260</v>
      </c>
      <c r="Q2264" s="4" t="str">
        <f t="shared" si="113"/>
        <v>铜仁地区</v>
      </c>
      <c r="R2264" s="4">
        <f t="shared" si="111"/>
        <v>24</v>
      </c>
      <c r="S2264" s="4" t="str">
        <f t="shared" si="112"/>
        <v>贵州省</v>
      </c>
    </row>
    <row r="2265" spans="14:19">
      <c r="N2265" s="4">
        <v>2264</v>
      </c>
      <c r="O2265" s="4" t="s">
        <v>3124</v>
      </c>
      <c r="P2265" s="4">
        <v>260</v>
      </c>
      <c r="Q2265" s="4" t="str">
        <f t="shared" si="113"/>
        <v>铜仁地区</v>
      </c>
      <c r="R2265" s="4">
        <f t="shared" si="111"/>
        <v>24</v>
      </c>
      <c r="S2265" s="4" t="str">
        <f t="shared" si="112"/>
        <v>贵州省</v>
      </c>
    </row>
    <row r="2266" spans="14:19">
      <c r="N2266" s="4">
        <v>2265</v>
      </c>
      <c r="O2266" s="4" t="s">
        <v>3125</v>
      </c>
      <c r="P2266" s="4">
        <v>261</v>
      </c>
      <c r="Q2266" s="4" t="str">
        <f t="shared" si="113"/>
        <v>黔西南布依族苗族自治州</v>
      </c>
      <c r="R2266" s="4">
        <f t="shared" si="111"/>
        <v>24</v>
      </c>
      <c r="S2266" s="4" t="str">
        <f t="shared" si="112"/>
        <v>贵州省</v>
      </c>
    </row>
    <row r="2267" spans="14:19">
      <c r="N2267" s="4">
        <v>2266</v>
      </c>
      <c r="O2267" s="4" t="s">
        <v>3126</v>
      </c>
      <c r="P2267" s="4">
        <v>261</v>
      </c>
      <c r="Q2267" s="4" t="str">
        <f t="shared" si="113"/>
        <v>黔西南布依族苗族自治州</v>
      </c>
      <c r="R2267" s="4">
        <f t="shared" si="111"/>
        <v>24</v>
      </c>
      <c r="S2267" s="4" t="str">
        <f t="shared" si="112"/>
        <v>贵州省</v>
      </c>
    </row>
    <row r="2268" spans="14:19">
      <c r="N2268" s="4">
        <v>2267</v>
      </c>
      <c r="O2268" s="4" t="s">
        <v>3127</v>
      </c>
      <c r="P2268" s="4">
        <v>261</v>
      </c>
      <c r="Q2268" s="4" t="str">
        <f t="shared" si="113"/>
        <v>黔西南布依族苗族自治州</v>
      </c>
      <c r="R2268" s="4">
        <f t="shared" si="111"/>
        <v>24</v>
      </c>
      <c r="S2268" s="4" t="str">
        <f t="shared" si="112"/>
        <v>贵州省</v>
      </c>
    </row>
    <row r="2269" spans="14:19">
      <c r="N2269" s="4">
        <v>2268</v>
      </c>
      <c r="O2269" s="4" t="s">
        <v>3128</v>
      </c>
      <c r="P2269" s="4">
        <v>261</v>
      </c>
      <c r="Q2269" s="4" t="str">
        <f t="shared" si="113"/>
        <v>黔西南布依族苗族自治州</v>
      </c>
      <c r="R2269" s="4">
        <f t="shared" si="111"/>
        <v>24</v>
      </c>
      <c r="S2269" s="4" t="str">
        <f t="shared" si="112"/>
        <v>贵州省</v>
      </c>
    </row>
    <row r="2270" spans="14:19">
      <c r="N2270" s="4">
        <v>2269</v>
      </c>
      <c r="O2270" s="4" t="s">
        <v>3129</v>
      </c>
      <c r="P2270" s="4">
        <v>261</v>
      </c>
      <c r="Q2270" s="4" t="str">
        <f t="shared" si="113"/>
        <v>黔西南布依族苗族自治州</v>
      </c>
      <c r="R2270" s="4">
        <f t="shared" si="111"/>
        <v>24</v>
      </c>
      <c r="S2270" s="4" t="str">
        <f t="shared" si="112"/>
        <v>贵州省</v>
      </c>
    </row>
    <row r="2271" spans="14:19">
      <c r="N2271" s="4">
        <v>2270</v>
      </c>
      <c r="O2271" s="4" t="s">
        <v>3130</v>
      </c>
      <c r="P2271" s="4">
        <v>261</v>
      </c>
      <c r="Q2271" s="4" t="str">
        <f t="shared" si="113"/>
        <v>黔西南布依族苗族自治州</v>
      </c>
      <c r="R2271" s="4">
        <f t="shared" si="111"/>
        <v>24</v>
      </c>
      <c r="S2271" s="4" t="str">
        <f t="shared" si="112"/>
        <v>贵州省</v>
      </c>
    </row>
    <row r="2272" spans="14:19">
      <c r="N2272" s="4">
        <v>2271</v>
      </c>
      <c r="O2272" s="4" t="s">
        <v>3131</v>
      </c>
      <c r="P2272" s="4">
        <v>261</v>
      </c>
      <c r="Q2272" s="4" t="str">
        <f t="shared" si="113"/>
        <v>黔西南布依族苗族自治州</v>
      </c>
      <c r="R2272" s="4">
        <f t="shared" si="111"/>
        <v>24</v>
      </c>
      <c r="S2272" s="4" t="str">
        <f t="shared" si="112"/>
        <v>贵州省</v>
      </c>
    </row>
    <row r="2273" spans="14:19">
      <c r="N2273" s="4">
        <v>2272</v>
      </c>
      <c r="O2273" s="4" t="s">
        <v>3132</v>
      </c>
      <c r="P2273" s="4">
        <v>261</v>
      </c>
      <c r="Q2273" s="4" t="str">
        <f t="shared" si="113"/>
        <v>黔西南布依族苗族自治州</v>
      </c>
      <c r="R2273" s="4">
        <f t="shared" si="111"/>
        <v>24</v>
      </c>
      <c r="S2273" s="4" t="str">
        <f t="shared" si="112"/>
        <v>贵州省</v>
      </c>
    </row>
    <row r="2274" spans="14:19">
      <c r="N2274" s="4">
        <v>2273</v>
      </c>
      <c r="O2274" s="4" t="s">
        <v>3133</v>
      </c>
      <c r="P2274" s="4">
        <v>262</v>
      </c>
      <c r="Q2274" s="4" t="str">
        <f t="shared" si="113"/>
        <v>毕节地区</v>
      </c>
      <c r="R2274" s="4">
        <f t="shared" si="111"/>
        <v>24</v>
      </c>
      <c r="S2274" s="4" t="str">
        <f t="shared" si="112"/>
        <v>贵州省</v>
      </c>
    </row>
    <row r="2275" spans="14:19">
      <c r="N2275" s="4">
        <v>2274</v>
      </c>
      <c r="O2275" s="4" t="s">
        <v>3134</v>
      </c>
      <c r="P2275" s="4">
        <v>262</v>
      </c>
      <c r="Q2275" s="4" t="str">
        <f t="shared" si="113"/>
        <v>毕节地区</v>
      </c>
      <c r="R2275" s="4">
        <f t="shared" si="111"/>
        <v>24</v>
      </c>
      <c r="S2275" s="4" t="str">
        <f t="shared" si="112"/>
        <v>贵州省</v>
      </c>
    </row>
    <row r="2276" spans="14:19">
      <c r="N2276" s="4">
        <v>2275</v>
      </c>
      <c r="O2276" s="4" t="s">
        <v>3135</v>
      </c>
      <c r="P2276" s="4">
        <v>262</v>
      </c>
      <c r="Q2276" s="4" t="str">
        <f t="shared" si="113"/>
        <v>毕节地区</v>
      </c>
      <c r="R2276" s="4">
        <f t="shared" si="111"/>
        <v>24</v>
      </c>
      <c r="S2276" s="4" t="str">
        <f t="shared" si="112"/>
        <v>贵州省</v>
      </c>
    </row>
    <row r="2277" spans="14:19">
      <c r="N2277" s="4">
        <v>2276</v>
      </c>
      <c r="O2277" s="4" t="s">
        <v>3136</v>
      </c>
      <c r="P2277" s="4">
        <v>262</v>
      </c>
      <c r="Q2277" s="4" t="str">
        <f t="shared" si="113"/>
        <v>毕节地区</v>
      </c>
      <c r="R2277" s="4">
        <f t="shared" si="111"/>
        <v>24</v>
      </c>
      <c r="S2277" s="4" t="str">
        <f t="shared" si="112"/>
        <v>贵州省</v>
      </c>
    </row>
    <row r="2278" spans="14:19">
      <c r="N2278" s="4">
        <v>2277</v>
      </c>
      <c r="O2278" s="4" t="s">
        <v>3137</v>
      </c>
      <c r="P2278" s="4">
        <v>262</v>
      </c>
      <c r="Q2278" s="4" t="str">
        <f t="shared" si="113"/>
        <v>毕节地区</v>
      </c>
      <c r="R2278" s="4">
        <f t="shared" si="111"/>
        <v>24</v>
      </c>
      <c r="S2278" s="4" t="str">
        <f t="shared" si="112"/>
        <v>贵州省</v>
      </c>
    </row>
    <row r="2279" spans="14:19">
      <c r="N2279" s="4">
        <v>2278</v>
      </c>
      <c r="O2279" s="4" t="s">
        <v>3138</v>
      </c>
      <c r="P2279" s="4">
        <v>262</v>
      </c>
      <c r="Q2279" s="4" t="str">
        <f t="shared" si="113"/>
        <v>毕节地区</v>
      </c>
      <c r="R2279" s="4">
        <f t="shared" si="111"/>
        <v>24</v>
      </c>
      <c r="S2279" s="4" t="str">
        <f t="shared" si="112"/>
        <v>贵州省</v>
      </c>
    </row>
    <row r="2280" spans="14:19">
      <c r="N2280" s="4">
        <v>2279</v>
      </c>
      <c r="O2280" s="4" t="s">
        <v>3139</v>
      </c>
      <c r="P2280" s="4">
        <v>262</v>
      </c>
      <c r="Q2280" s="4" t="str">
        <f t="shared" si="113"/>
        <v>毕节地区</v>
      </c>
      <c r="R2280" s="4">
        <f t="shared" si="111"/>
        <v>24</v>
      </c>
      <c r="S2280" s="4" t="str">
        <f t="shared" si="112"/>
        <v>贵州省</v>
      </c>
    </row>
    <row r="2281" spans="14:19">
      <c r="N2281" s="4">
        <v>2280</v>
      </c>
      <c r="O2281" s="4" t="s">
        <v>3140</v>
      </c>
      <c r="P2281" s="4">
        <v>262</v>
      </c>
      <c r="Q2281" s="4" t="str">
        <f t="shared" si="113"/>
        <v>毕节地区</v>
      </c>
      <c r="R2281" s="4">
        <f t="shared" si="111"/>
        <v>24</v>
      </c>
      <c r="S2281" s="4" t="str">
        <f t="shared" si="112"/>
        <v>贵州省</v>
      </c>
    </row>
    <row r="2282" spans="14:19">
      <c r="N2282" s="4">
        <v>2281</v>
      </c>
      <c r="O2282" s="4" t="s">
        <v>3141</v>
      </c>
      <c r="P2282" s="4">
        <v>263</v>
      </c>
      <c r="Q2282" s="4" t="str">
        <f t="shared" si="113"/>
        <v>黔东南苗族侗族自治州</v>
      </c>
      <c r="R2282" s="4">
        <f t="shared" si="111"/>
        <v>24</v>
      </c>
      <c r="S2282" s="4" t="str">
        <f t="shared" si="112"/>
        <v>贵州省</v>
      </c>
    </row>
    <row r="2283" spans="14:19">
      <c r="N2283" s="4">
        <v>2282</v>
      </c>
      <c r="O2283" s="4" t="s">
        <v>3142</v>
      </c>
      <c r="P2283" s="4">
        <v>263</v>
      </c>
      <c r="Q2283" s="4" t="str">
        <f t="shared" si="113"/>
        <v>黔东南苗族侗族自治州</v>
      </c>
      <c r="R2283" s="4">
        <f t="shared" si="111"/>
        <v>24</v>
      </c>
      <c r="S2283" s="4" t="str">
        <f t="shared" si="112"/>
        <v>贵州省</v>
      </c>
    </row>
    <row r="2284" spans="14:19">
      <c r="N2284" s="4">
        <v>2283</v>
      </c>
      <c r="O2284" s="4" t="s">
        <v>3143</v>
      </c>
      <c r="P2284" s="4">
        <v>263</v>
      </c>
      <c r="Q2284" s="4" t="str">
        <f t="shared" si="113"/>
        <v>黔东南苗族侗族自治州</v>
      </c>
      <c r="R2284" s="4">
        <f t="shared" si="111"/>
        <v>24</v>
      </c>
      <c r="S2284" s="4" t="str">
        <f t="shared" si="112"/>
        <v>贵州省</v>
      </c>
    </row>
    <row r="2285" spans="14:19">
      <c r="N2285" s="4">
        <v>2284</v>
      </c>
      <c r="O2285" s="4" t="s">
        <v>3144</v>
      </c>
      <c r="P2285" s="4">
        <v>263</v>
      </c>
      <c r="Q2285" s="4" t="str">
        <f t="shared" si="113"/>
        <v>黔东南苗族侗族自治州</v>
      </c>
      <c r="R2285" s="4">
        <f t="shared" si="111"/>
        <v>24</v>
      </c>
      <c r="S2285" s="4" t="str">
        <f t="shared" si="112"/>
        <v>贵州省</v>
      </c>
    </row>
    <row r="2286" spans="14:19">
      <c r="N2286" s="4">
        <v>2285</v>
      </c>
      <c r="O2286" s="4" t="s">
        <v>3145</v>
      </c>
      <c r="P2286" s="4">
        <v>263</v>
      </c>
      <c r="Q2286" s="4" t="str">
        <f t="shared" si="113"/>
        <v>黔东南苗族侗族自治州</v>
      </c>
      <c r="R2286" s="4">
        <f t="shared" si="111"/>
        <v>24</v>
      </c>
      <c r="S2286" s="4" t="str">
        <f t="shared" si="112"/>
        <v>贵州省</v>
      </c>
    </row>
    <row r="2287" spans="14:19">
      <c r="N2287" s="4">
        <v>2286</v>
      </c>
      <c r="O2287" s="4" t="s">
        <v>3146</v>
      </c>
      <c r="P2287" s="4">
        <v>263</v>
      </c>
      <c r="Q2287" s="4" t="str">
        <f t="shared" si="113"/>
        <v>黔东南苗族侗族自治州</v>
      </c>
      <c r="R2287" s="4">
        <f t="shared" si="111"/>
        <v>24</v>
      </c>
      <c r="S2287" s="4" t="str">
        <f t="shared" si="112"/>
        <v>贵州省</v>
      </c>
    </row>
    <row r="2288" spans="14:19">
      <c r="N2288" s="4">
        <v>2287</v>
      </c>
      <c r="O2288" s="4" t="s">
        <v>3147</v>
      </c>
      <c r="P2288" s="4">
        <v>263</v>
      </c>
      <c r="Q2288" s="4" t="str">
        <f t="shared" si="113"/>
        <v>黔东南苗族侗族自治州</v>
      </c>
      <c r="R2288" s="4">
        <f t="shared" si="111"/>
        <v>24</v>
      </c>
      <c r="S2288" s="4" t="str">
        <f t="shared" si="112"/>
        <v>贵州省</v>
      </c>
    </row>
    <row r="2289" spans="14:19">
      <c r="N2289" s="4">
        <v>2288</v>
      </c>
      <c r="O2289" s="4" t="s">
        <v>3148</v>
      </c>
      <c r="P2289" s="4">
        <v>263</v>
      </c>
      <c r="Q2289" s="4" t="str">
        <f t="shared" si="113"/>
        <v>黔东南苗族侗族自治州</v>
      </c>
      <c r="R2289" s="4">
        <f t="shared" si="111"/>
        <v>24</v>
      </c>
      <c r="S2289" s="4" t="str">
        <f t="shared" si="112"/>
        <v>贵州省</v>
      </c>
    </row>
    <row r="2290" spans="14:19">
      <c r="N2290" s="4">
        <v>2289</v>
      </c>
      <c r="O2290" s="4" t="s">
        <v>3149</v>
      </c>
      <c r="P2290" s="4">
        <v>263</v>
      </c>
      <c r="Q2290" s="4" t="str">
        <f t="shared" si="113"/>
        <v>黔东南苗族侗族自治州</v>
      </c>
      <c r="R2290" s="4">
        <f t="shared" si="111"/>
        <v>24</v>
      </c>
      <c r="S2290" s="4" t="str">
        <f t="shared" si="112"/>
        <v>贵州省</v>
      </c>
    </row>
    <row r="2291" spans="14:19">
      <c r="N2291" s="4">
        <v>2290</v>
      </c>
      <c r="O2291" s="4" t="s">
        <v>3150</v>
      </c>
      <c r="P2291" s="4">
        <v>263</v>
      </c>
      <c r="Q2291" s="4" t="str">
        <f t="shared" si="113"/>
        <v>黔东南苗族侗族自治州</v>
      </c>
      <c r="R2291" s="4">
        <f t="shared" si="111"/>
        <v>24</v>
      </c>
      <c r="S2291" s="4" t="str">
        <f t="shared" si="112"/>
        <v>贵州省</v>
      </c>
    </row>
    <row r="2292" spans="14:19">
      <c r="N2292" s="4">
        <v>2291</v>
      </c>
      <c r="O2292" s="4" t="s">
        <v>3151</v>
      </c>
      <c r="P2292" s="4">
        <v>263</v>
      </c>
      <c r="Q2292" s="4" t="str">
        <f t="shared" si="113"/>
        <v>黔东南苗族侗族自治州</v>
      </c>
      <c r="R2292" s="4">
        <f t="shared" si="111"/>
        <v>24</v>
      </c>
      <c r="S2292" s="4" t="str">
        <f t="shared" si="112"/>
        <v>贵州省</v>
      </c>
    </row>
    <row r="2293" spans="14:19">
      <c r="N2293" s="4">
        <v>2292</v>
      </c>
      <c r="O2293" s="4" t="s">
        <v>3152</v>
      </c>
      <c r="P2293" s="4">
        <v>263</v>
      </c>
      <c r="Q2293" s="4" t="str">
        <f t="shared" si="113"/>
        <v>黔东南苗族侗族自治州</v>
      </c>
      <c r="R2293" s="4">
        <f t="shared" si="111"/>
        <v>24</v>
      </c>
      <c r="S2293" s="4" t="str">
        <f t="shared" si="112"/>
        <v>贵州省</v>
      </c>
    </row>
    <row r="2294" spans="14:19">
      <c r="N2294" s="4">
        <v>2293</v>
      </c>
      <c r="O2294" s="4" t="s">
        <v>3153</v>
      </c>
      <c r="P2294" s="4">
        <v>263</v>
      </c>
      <c r="Q2294" s="4" t="str">
        <f t="shared" si="113"/>
        <v>黔东南苗族侗族自治州</v>
      </c>
      <c r="R2294" s="4">
        <f t="shared" si="111"/>
        <v>24</v>
      </c>
      <c r="S2294" s="4" t="str">
        <f t="shared" si="112"/>
        <v>贵州省</v>
      </c>
    </row>
    <row r="2295" spans="14:19">
      <c r="N2295" s="4">
        <v>2294</v>
      </c>
      <c r="O2295" s="4" t="s">
        <v>3154</v>
      </c>
      <c r="P2295" s="4">
        <v>263</v>
      </c>
      <c r="Q2295" s="4" t="str">
        <f t="shared" si="113"/>
        <v>黔东南苗族侗族自治州</v>
      </c>
      <c r="R2295" s="4">
        <f t="shared" si="111"/>
        <v>24</v>
      </c>
      <c r="S2295" s="4" t="str">
        <f t="shared" si="112"/>
        <v>贵州省</v>
      </c>
    </row>
    <row r="2296" spans="14:19">
      <c r="N2296" s="4">
        <v>2295</v>
      </c>
      <c r="O2296" s="4" t="s">
        <v>3155</v>
      </c>
      <c r="P2296" s="4">
        <v>263</v>
      </c>
      <c r="Q2296" s="4" t="str">
        <f t="shared" si="113"/>
        <v>黔东南苗族侗族自治州</v>
      </c>
      <c r="R2296" s="4">
        <f t="shared" si="111"/>
        <v>24</v>
      </c>
      <c r="S2296" s="4" t="str">
        <f t="shared" si="112"/>
        <v>贵州省</v>
      </c>
    </row>
    <row r="2297" spans="14:19">
      <c r="N2297" s="4">
        <v>2296</v>
      </c>
      <c r="O2297" s="4" t="s">
        <v>3156</v>
      </c>
      <c r="P2297" s="4">
        <v>263</v>
      </c>
      <c r="Q2297" s="4" t="str">
        <f t="shared" si="113"/>
        <v>黔东南苗族侗族自治州</v>
      </c>
      <c r="R2297" s="4">
        <f t="shared" si="111"/>
        <v>24</v>
      </c>
      <c r="S2297" s="4" t="str">
        <f t="shared" si="112"/>
        <v>贵州省</v>
      </c>
    </row>
    <row r="2298" spans="14:19">
      <c r="N2298" s="4">
        <v>2297</v>
      </c>
      <c r="O2298" s="4" t="s">
        <v>3157</v>
      </c>
      <c r="P2298" s="4">
        <v>264</v>
      </c>
      <c r="Q2298" s="4" t="str">
        <f t="shared" si="113"/>
        <v>黔南布依族苗族自治州</v>
      </c>
      <c r="R2298" s="4">
        <f t="shared" si="111"/>
        <v>24</v>
      </c>
      <c r="S2298" s="4" t="str">
        <f t="shared" si="112"/>
        <v>贵州省</v>
      </c>
    </row>
    <row r="2299" spans="14:19">
      <c r="N2299" s="4">
        <v>2298</v>
      </c>
      <c r="O2299" s="4" t="s">
        <v>3158</v>
      </c>
      <c r="P2299" s="4">
        <v>264</v>
      </c>
      <c r="Q2299" s="4" t="str">
        <f t="shared" si="113"/>
        <v>黔南布依族苗族自治州</v>
      </c>
      <c r="R2299" s="4">
        <f t="shared" si="111"/>
        <v>24</v>
      </c>
      <c r="S2299" s="4" t="str">
        <f t="shared" si="112"/>
        <v>贵州省</v>
      </c>
    </row>
    <row r="2300" spans="14:19">
      <c r="N2300" s="4">
        <v>2299</v>
      </c>
      <c r="O2300" s="4" t="s">
        <v>3159</v>
      </c>
      <c r="P2300" s="4">
        <v>264</v>
      </c>
      <c r="Q2300" s="4" t="str">
        <f t="shared" si="113"/>
        <v>黔南布依族苗族自治州</v>
      </c>
      <c r="R2300" s="4">
        <f t="shared" si="111"/>
        <v>24</v>
      </c>
      <c r="S2300" s="4" t="str">
        <f t="shared" si="112"/>
        <v>贵州省</v>
      </c>
    </row>
    <row r="2301" spans="14:19">
      <c r="N2301" s="4">
        <v>2300</v>
      </c>
      <c r="O2301" s="4" t="s">
        <v>3160</v>
      </c>
      <c r="P2301" s="4">
        <v>264</v>
      </c>
      <c r="Q2301" s="4" t="str">
        <f t="shared" si="113"/>
        <v>黔南布依族苗族自治州</v>
      </c>
      <c r="R2301" s="4">
        <f t="shared" si="111"/>
        <v>24</v>
      </c>
      <c r="S2301" s="4" t="str">
        <f t="shared" si="112"/>
        <v>贵州省</v>
      </c>
    </row>
    <row r="2302" spans="14:19">
      <c r="N2302" s="4">
        <v>2301</v>
      </c>
      <c r="O2302" s="4" t="s">
        <v>3161</v>
      </c>
      <c r="P2302" s="4">
        <v>264</v>
      </c>
      <c r="Q2302" s="4" t="str">
        <f t="shared" si="113"/>
        <v>黔南布依族苗族自治州</v>
      </c>
      <c r="R2302" s="4">
        <f t="shared" si="111"/>
        <v>24</v>
      </c>
      <c r="S2302" s="4" t="str">
        <f t="shared" si="112"/>
        <v>贵州省</v>
      </c>
    </row>
    <row r="2303" spans="14:19">
      <c r="N2303" s="4">
        <v>2302</v>
      </c>
      <c r="O2303" s="4" t="s">
        <v>3162</v>
      </c>
      <c r="P2303" s="4">
        <v>264</v>
      </c>
      <c r="Q2303" s="4" t="str">
        <f t="shared" si="113"/>
        <v>黔南布依族苗族自治州</v>
      </c>
      <c r="R2303" s="4">
        <f t="shared" si="111"/>
        <v>24</v>
      </c>
      <c r="S2303" s="4" t="str">
        <f t="shared" si="112"/>
        <v>贵州省</v>
      </c>
    </row>
    <row r="2304" spans="14:19">
      <c r="N2304" s="4">
        <v>2303</v>
      </c>
      <c r="O2304" s="4" t="s">
        <v>3163</v>
      </c>
      <c r="P2304" s="4">
        <v>264</v>
      </c>
      <c r="Q2304" s="4" t="str">
        <f t="shared" si="113"/>
        <v>黔南布依族苗族自治州</v>
      </c>
      <c r="R2304" s="4">
        <f t="shared" si="111"/>
        <v>24</v>
      </c>
      <c r="S2304" s="4" t="str">
        <f t="shared" si="112"/>
        <v>贵州省</v>
      </c>
    </row>
    <row r="2305" spans="14:19">
      <c r="N2305" s="4">
        <v>2304</v>
      </c>
      <c r="O2305" s="4" t="s">
        <v>3164</v>
      </c>
      <c r="P2305" s="4">
        <v>264</v>
      </c>
      <c r="Q2305" s="4" t="str">
        <f t="shared" si="113"/>
        <v>黔南布依族苗族自治州</v>
      </c>
      <c r="R2305" s="4">
        <f t="shared" si="111"/>
        <v>24</v>
      </c>
      <c r="S2305" s="4" t="str">
        <f t="shared" si="112"/>
        <v>贵州省</v>
      </c>
    </row>
    <row r="2306" spans="14:19">
      <c r="N2306" s="4">
        <v>2305</v>
      </c>
      <c r="O2306" s="4" t="s">
        <v>3165</v>
      </c>
      <c r="P2306" s="4">
        <v>264</v>
      </c>
      <c r="Q2306" s="4" t="str">
        <f t="shared" si="113"/>
        <v>黔南布依族苗族自治州</v>
      </c>
      <c r="R2306" s="4">
        <f t="shared" ref="R2306:R2369" si="114">VLOOKUP(P2306,$I$2:$M$346,3,FALSE)</f>
        <v>24</v>
      </c>
      <c r="S2306" s="4" t="str">
        <f t="shared" ref="S2306:S2369" si="115">VLOOKUP(P2306,$I$2:$M$346,4,FALSE)</f>
        <v>贵州省</v>
      </c>
    </row>
    <row r="2307" spans="14:19">
      <c r="N2307" s="4">
        <v>2306</v>
      </c>
      <c r="O2307" s="4" t="s">
        <v>3166</v>
      </c>
      <c r="P2307" s="4">
        <v>264</v>
      </c>
      <c r="Q2307" s="4" t="str">
        <f t="shared" ref="Q2307:Q2370" si="116">VLOOKUP(P2307,$I$2:$J$346,2,FALSE)</f>
        <v>黔南布依族苗族自治州</v>
      </c>
      <c r="R2307" s="4">
        <f t="shared" si="114"/>
        <v>24</v>
      </c>
      <c r="S2307" s="4" t="str">
        <f t="shared" si="115"/>
        <v>贵州省</v>
      </c>
    </row>
    <row r="2308" spans="14:19">
      <c r="N2308" s="4">
        <v>2307</v>
      </c>
      <c r="O2308" s="4" t="s">
        <v>3167</v>
      </c>
      <c r="P2308" s="4">
        <v>264</v>
      </c>
      <c r="Q2308" s="4" t="str">
        <f t="shared" si="116"/>
        <v>黔南布依族苗族自治州</v>
      </c>
      <c r="R2308" s="4">
        <f t="shared" si="114"/>
        <v>24</v>
      </c>
      <c r="S2308" s="4" t="str">
        <f t="shared" si="115"/>
        <v>贵州省</v>
      </c>
    </row>
    <row r="2309" spans="14:19">
      <c r="N2309" s="4">
        <v>2308</v>
      </c>
      <c r="O2309" s="4" t="s">
        <v>3168</v>
      </c>
      <c r="P2309" s="4">
        <v>264</v>
      </c>
      <c r="Q2309" s="4" t="str">
        <f t="shared" si="116"/>
        <v>黔南布依族苗族自治州</v>
      </c>
      <c r="R2309" s="4">
        <f t="shared" si="114"/>
        <v>24</v>
      </c>
      <c r="S2309" s="4" t="str">
        <f t="shared" si="115"/>
        <v>贵州省</v>
      </c>
    </row>
    <row r="2310" spans="14:19">
      <c r="N2310" s="4">
        <v>2309</v>
      </c>
      <c r="O2310" s="4" t="s">
        <v>3169</v>
      </c>
      <c r="P2310" s="4">
        <v>265</v>
      </c>
      <c r="Q2310" s="4" t="str">
        <f t="shared" si="116"/>
        <v>昆明市</v>
      </c>
      <c r="R2310" s="4">
        <f t="shared" si="114"/>
        <v>25</v>
      </c>
      <c r="S2310" s="4" t="str">
        <f t="shared" si="115"/>
        <v>云南省</v>
      </c>
    </row>
    <row r="2311" spans="14:19">
      <c r="N2311" s="4">
        <v>2310</v>
      </c>
      <c r="O2311" s="4" t="s">
        <v>3170</v>
      </c>
      <c r="P2311" s="4">
        <v>265</v>
      </c>
      <c r="Q2311" s="4" t="str">
        <f t="shared" si="116"/>
        <v>昆明市</v>
      </c>
      <c r="R2311" s="4">
        <f t="shared" si="114"/>
        <v>25</v>
      </c>
      <c r="S2311" s="4" t="str">
        <f t="shared" si="115"/>
        <v>云南省</v>
      </c>
    </row>
    <row r="2312" spans="14:19">
      <c r="N2312" s="4">
        <v>2311</v>
      </c>
      <c r="O2312" s="4" t="s">
        <v>3171</v>
      </c>
      <c r="P2312" s="4">
        <v>265</v>
      </c>
      <c r="Q2312" s="4" t="str">
        <f t="shared" si="116"/>
        <v>昆明市</v>
      </c>
      <c r="R2312" s="4">
        <f t="shared" si="114"/>
        <v>25</v>
      </c>
      <c r="S2312" s="4" t="str">
        <f t="shared" si="115"/>
        <v>云南省</v>
      </c>
    </row>
    <row r="2313" spans="14:19">
      <c r="N2313" s="4">
        <v>2312</v>
      </c>
      <c r="O2313" s="4" t="s">
        <v>3172</v>
      </c>
      <c r="P2313" s="4">
        <v>265</v>
      </c>
      <c r="Q2313" s="4" t="str">
        <f t="shared" si="116"/>
        <v>昆明市</v>
      </c>
      <c r="R2313" s="4">
        <f t="shared" si="114"/>
        <v>25</v>
      </c>
      <c r="S2313" s="4" t="str">
        <f t="shared" si="115"/>
        <v>云南省</v>
      </c>
    </row>
    <row r="2314" spans="14:19">
      <c r="N2314" s="4">
        <v>2313</v>
      </c>
      <c r="O2314" s="4" t="s">
        <v>3173</v>
      </c>
      <c r="P2314" s="4">
        <v>265</v>
      </c>
      <c r="Q2314" s="4" t="str">
        <f t="shared" si="116"/>
        <v>昆明市</v>
      </c>
      <c r="R2314" s="4">
        <f t="shared" si="114"/>
        <v>25</v>
      </c>
      <c r="S2314" s="4" t="str">
        <f t="shared" si="115"/>
        <v>云南省</v>
      </c>
    </row>
    <row r="2315" spans="14:19">
      <c r="N2315" s="4">
        <v>2314</v>
      </c>
      <c r="O2315" s="4" t="s">
        <v>3174</v>
      </c>
      <c r="P2315" s="4">
        <v>265</v>
      </c>
      <c r="Q2315" s="4" t="str">
        <f t="shared" si="116"/>
        <v>昆明市</v>
      </c>
      <c r="R2315" s="4">
        <f t="shared" si="114"/>
        <v>25</v>
      </c>
      <c r="S2315" s="4" t="str">
        <f t="shared" si="115"/>
        <v>云南省</v>
      </c>
    </row>
    <row r="2316" spans="14:19">
      <c r="N2316" s="4">
        <v>2315</v>
      </c>
      <c r="O2316" s="4" t="s">
        <v>3175</v>
      </c>
      <c r="P2316" s="4">
        <v>265</v>
      </c>
      <c r="Q2316" s="4" t="str">
        <f t="shared" si="116"/>
        <v>昆明市</v>
      </c>
      <c r="R2316" s="4">
        <f t="shared" si="114"/>
        <v>25</v>
      </c>
      <c r="S2316" s="4" t="str">
        <f t="shared" si="115"/>
        <v>云南省</v>
      </c>
    </row>
    <row r="2317" spans="14:19">
      <c r="N2317" s="4">
        <v>2316</v>
      </c>
      <c r="O2317" s="4" t="s">
        <v>3176</v>
      </c>
      <c r="P2317" s="4">
        <v>265</v>
      </c>
      <c r="Q2317" s="4" t="str">
        <f t="shared" si="116"/>
        <v>昆明市</v>
      </c>
      <c r="R2317" s="4">
        <f t="shared" si="114"/>
        <v>25</v>
      </c>
      <c r="S2317" s="4" t="str">
        <f t="shared" si="115"/>
        <v>云南省</v>
      </c>
    </row>
    <row r="2318" spans="14:19">
      <c r="N2318" s="4">
        <v>2317</v>
      </c>
      <c r="O2318" s="4" t="s">
        <v>3177</v>
      </c>
      <c r="P2318" s="4">
        <v>265</v>
      </c>
      <c r="Q2318" s="4" t="str">
        <f t="shared" si="116"/>
        <v>昆明市</v>
      </c>
      <c r="R2318" s="4">
        <f t="shared" si="114"/>
        <v>25</v>
      </c>
      <c r="S2318" s="4" t="str">
        <f t="shared" si="115"/>
        <v>云南省</v>
      </c>
    </row>
    <row r="2319" spans="14:19">
      <c r="N2319" s="4">
        <v>2318</v>
      </c>
      <c r="O2319" s="4" t="s">
        <v>3178</v>
      </c>
      <c r="P2319" s="4">
        <v>265</v>
      </c>
      <c r="Q2319" s="4" t="str">
        <f t="shared" si="116"/>
        <v>昆明市</v>
      </c>
      <c r="R2319" s="4">
        <f t="shared" si="114"/>
        <v>25</v>
      </c>
      <c r="S2319" s="4" t="str">
        <f t="shared" si="115"/>
        <v>云南省</v>
      </c>
    </row>
    <row r="2320" spans="14:19">
      <c r="N2320" s="4">
        <v>2319</v>
      </c>
      <c r="O2320" s="4" t="s">
        <v>3179</v>
      </c>
      <c r="P2320" s="4">
        <v>265</v>
      </c>
      <c r="Q2320" s="4" t="str">
        <f t="shared" si="116"/>
        <v>昆明市</v>
      </c>
      <c r="R2320" s="4">
        <f t="shared" si="114"/>
        <v>25</v>
      </c>
      <c r="S2320" s="4" t="str">
        <f t="shared" si="115"/>
        <v>云南省</v>
      </c>
    </row>
    <row r="2321" spans="14:19">
      <c r="N2321" s="4">
        <v>2320</v>
      </c>
      <c r="O2321" s="4" t="s">
        <v>3180</v>
      </c>
      <c r="P2321" s="4">
        <v>265</v>
      </c>
      <c r="Q2321" s="4" t="str">
        <f t="shared" si="116"/>
        <v>昆明市</v>
      </c>
      <c r="R2321" s="4">
        <f t="shared" si="114"/>
        <v>25</v>
      </c>
      <c r="S2321" s="4" t="str">
        <f t="shared" si="115"/>
        <v>云南省</v>
      </c>
    </row>
    <row r="2322" spans="14:19">
      <c r="N2322" s="4">
        <v>2321</v>
      </c>
      <c r="O2322" s="4" t="s">
        <v>3181</v>
      </c>
      <c r="P2322" s="4">
        <v>265</v>
      </c>
      <c r="Q2322" s="4" t="str">
        <f t="shared" si="116"/>
        <v>昆明市</v>
      </c>
      <c r="R2322" s="4">
        <f t="shared" si="114"/>
        <v>25</v>
      </c>
      <c r="S2322" s="4" t="str">
        <f t="shared" si="115"/>
        <v>云南省</v>
      </c>
    </row>
    <row r="2323" spans="14:19">
      <c r="N2323" s="4">
        <v>2322</v>
      </c>
      <c r="O2323" s="4" t="s">
        <v>3182</v>
      </c>
      <c r="P2323" s="4">
        <v>265</v>
      </c>
      <c r="Q2323" s="4" t="str">
        <f t="shared" si="116"/>
        <v>昆明市</v>
      </c>
      <c r="R2323" s="4">
        <f t="shared" si="114"/>
        <v>25</v>
      </c>
      <c r="S2323" s="4" t="str">
        <f t="shared" si="115"/>
        <v>云南省</v>
      </c>
    </row>
    <row r="2324" spans="14:19">
      <c r="N2324" s="4">
        <v>2323</v>
      </c>
      <c r="O2324" s="4" t="s">
        <v>3183</v>
      </c>
      <c r="P2324" s="4">
        <v>266</v>
      </c>
      <c r="Q2324" s="4" t="str">
        <f t="shared" si="116"/>
        <v>曲靖市</v>
      </c>
      <c r="R2324" s="4">
        <f t="shared" si="114"/>
        <v>25</v>
      </c>
      <c r="S2324" s="4" t="str">
        <f t="shared" si="115"/>
        <v>云南省</v>
      </c>
    </row>
    <row r="2325" spans="14:19">
      <c r="N2325" s="4">
        <v>2324</v>
      </c>
      <c r="O2325" s="4" t="s">
        <v>3184</v>
      </c>
      <c r="P2325" s="4">
        <v>266</v>
      </c>
      <c r="Q2325" s="4" t="str">
        <f t="shared" si="116"/>
        <v>曲靖市</v>
      </c>
      <c r="R2325" s="4">
        <f t="shared" si="114"/>
        <v>25</v>
      </c>
      <c r="S2325" s="4" t="str">
        <f t="shared" si="115"/>
        <v>云南省</v>
      </c>
    </row>
    <row r="2326" spans="14:19">
      <c r="N2326" s="4">
        <v>2325</v>
      </c>
      <c r="O2326" s="4" t="s">
        <v>3185</v>
      </c>
      <c r="P2326" s="4">
        <v>266</v>
      </c>
      <c r="Q2326" s="4" t="str">
        <f t="shared" si="116"/>
        <v>曲靖市</v>
      </c>
      <c r="R2326" s="4">
        <f t="shared" si="114"/>
        <v>25</v>
      </c>
      <c r="S2326" s="4" t="str">
        <f t="shared" si="115"/>
        <v>云南省</v>
      </c>
    </row>
    <row r="2327" spans="14:19">
      <c r="N2327" s="4">
        <v>2326</v>
      </c>
      <c r="O2327" s="4" t="s">
        <v>3186</v>
      </c>
      <c r="P2327" s="4">
        <v>266</v>
      </c>
      <c r="Q2327" s="4" t="str">
        <f t="shared" si="116"/>
        <v>曲靖市</v>
      </c>
      <c r="R2327" s="4">
        <f t="shared" si="114"/>
        <v>25</v>
      </c>
      <c r="S2327" s="4" t="str">
        <f t="shared" si="115"/>
        <v>云南省</v>
      </c>
    </row>
    <row r="2328" spans="14:19">
      <c r="N2328" s="4">
        <v>2327</v>
      </c>
      <c r="O2328" s="4" t="s">
        <v>3187</v>
      </c>
      <c r="P2328" s="4">
        <v>266</v>
      </c>
      <c r="Q2328" s="4" t="str">
        <f t="shared" si="116"/>
        <v>曲靖市</v>
      </c>
      <c r="R2328" s="4">
        <f t="shared" si="114"/>
        <v>25</v>
      </c>
      <c r="S2328" s="4" t="str">
        <f t="shared" si="115"/>
        <v>云南省</v>
      </c>
    </row>
    <row r="2329" spans="14:19">
      <c r="N2329" s="4">
        <v>2328</v>
      </c>
      <c r="O2329" s="4" t="s">
        <v>3188</v>
      </c>
      <c r="P2329" s="4">
        <v>266</v>
      </c>
      <c r="Q2329" s="4" t="str">
        <f t="shared" si="116"/>
        <v>曲靖市</v>
      </c>
      <c r="R2329" s="4">
        <f t="shared" si="114"/>
        <v>25</v>
      </c>
      <c r="S2329" s="4" t="str">
        <f t="shared" si="115"/>
        <v>云南省</v>
      </c>
    </row>
    <row r="2330" spans="14:19">
      <c r="N2330" s="4">
        <v>2329</v>
      </c>
      <c r="O2330" s="4" t="s">
        <v>3189</v>
      </c>
      <c r="P2330" s="4">
        <v>266</v>
      </c>
      <c r="Q2330" s="4" t="str">
        <f t="shared" si="116"/>
        <v>曲靖市</v>
      </c>
      <c r="R2330" s="4">
        <f t="shared" si="114"/>
        <v>25</v>
      </c>
      <c r="S2330" s="4" t="str">
        <f t="shared" si="115"/>
        <v>云南省</v>
      </c>
    </row>
    <row r="2331" spans="14:19">
      <c r="N2331" s="4">
        <v>2330</v>
      </c>
      <c r="O2331" s="4" t="s">
        <v>3190</v>
      </c>
      <c r="P2331" s="4">
        <v>266</v>
      </c>
      <c r="Q2331" s="4" t="str">
        <f t="shared" si="116"/>
        <v>曲靖市</v>
      </c>
      <c r="R2331" s="4">
        <f t="shared" si="114"/>
        <v>25</v>
      </c>
      <c r="S2331" s="4" t="str">
        <f t="shared" si="115"/>
        <v>云南省</v>
      </c>
    </row>
    <row r="2332" spans="14:19">
      <c r="N2332" s="4">
        <v>2331</v>
      </c>
      <c r="O2332" s="4" t="s">
        <v>3191</v>
      </c>
      <c r="P2332" s="4">
        <v>266</v>
      </c>
      <c r="Q2332" s="4" t="str">
        <f t="shared" si="116"/>
        <v>曲靖市</v>
      </c>
      <c r="R2332" s="4">
        <f t="shared" si="114"/>
        <v>25</v>
      </c>
      <c r="S2332" s="4" t="str">
        <f t="shared" si="115"/>
        <v>云南省</v>
      </c>
    </row>
    <row r="2333" spans="14:19">
      <c r="N2333" s="4">
        <v>2332</v>
      </c>
      <c r="O2333" s="4" t="s">
        <v>3192</v>
      </c>
      <c r="P2333" s="4">
        <v>267</v>
      </c>
      <c r="Q2333" s="4" t="str">
        <f t="shared" si="116"/>
        <v>玉溪市</v>
      </c>
      <c r="R2333" s="4">
        <f t="shared" si="114"/>
        <v>25</v>
      </c>
      <c r="S2333" s="4" t="str">
        <f t="shared" si="115"/>
        <v>云南省</v>
      </c>
    </row>
    <row r="2334" spans="14:19">
      <c r="N2334" s="4">
        <v>2333</v>
      </c>
      <c r="O2334" s="4" t="s">
        <v>3193</v>
      </c>
      <c r="P2334" s="4">
        <v>267</v>
      </c>
      <c r="Q2334" s="4" t="str">
        <f t="shared" si="116"/>
        <v>玉溪市</v>
      </c>
      <c r="R2334" s="4">
        <f t="shared" si="114"/>
        <v>25</v>
      </c>
      <c r="S2334" s="4" t="str">
        <f t="shared" si="115"/>
        <v>云南省</v>
      </c>
    </row>
    <row r="2335" spans="14:19">
      <c r="N2335" s="4">
        <v>2334</v>
      </c>
      <c r="O2335" s="4" t="s">
        <v>3194</v>
      </c>
      <c r="P2335" s="4">
        <v>267</v>
      </c>
      <c r="Q2335" s="4" t="str">
        <f t="shared" si="116"/>
        <v>玉溪市</v>
      </c>
      <c r="R2335" s="4">
        <f t="shared" si="114"/>
        <v>25</v>
      </c>
      <c r="S2335" s="4" t="str">
        <f t="shared" si="115"/>
        <v>云南省</v>
      </c>
    </row>
    <row r="2336" spans="14:19">
      <c r="N2336" s="4">
        <v>2335</v>
      </c>
      <c r="O2336" s="4" t="s">
        <v>3195</v>
      </c>
      <c r="P2336" s="4">
        <v>267</v>
      </c>
      <c r="Q2336" s="4" t="str">
        <f t="shared" si="116"/>
        <v>玉溪市</v>
      </c>
      <c r="R2336" s="4">
        <f t="shared" si="114"/>
        <v>25</v>
      </c>
      <c r="S2336" s="4" t="str">
        <f t="shared" si="115"/>
        <v>云南省</v>
      </c>
    </row>
    <row r="2337" spans="14:19">
      <c r="N2337" s="4">
        <v>2336</v>
      </c>
      <c r="O2337" s="4" t="s">
        <v>3196</v>
      </c>
      <c r="P2337" s="4">
        <v>267</v>
      </c>
      <c r="Q2337" s="4" t="str">
        <f t="shared" si="116"/>
        <v>玉溪市</v>
      </c>
      <c r="R2337" s="4">
        <f t="shared" si="114"/>
        <v>25</v>
      </c>
      <c r="S2337" s="4" t="str">
        <f t="shared" si="115"/>
        <v>云南省</v>
      </c>
    </row>
    <row r="2338" spans="14:19">
      <c r="N2338" s="4">
        <v>2337</v>
      </c>
      <c r="O2338" s="4" t="s">
        <v>3197</v>
      </c>
      <c r="P2338" s="4">
        <v>267</v>
      </c>
      <c r="Q2338" s="4" t="str">
        <f t="shared" si="116"/>
        <v>玉溪市</v>
      </c>
      <c r="R2338" s="4">
        <f t="shared" si="114"/>
        <v>25</v>
      </c>
      <c r="S2338" s="4" t="str">
        <f t="shared" si="115"/>
        <v>云南省</v>
      </c>
    </row>
    <row r="2339" spans="14:19">
      <c r="N2339" s="4">
        <v>2338</v>
      </c>
      <c r="O2339" s="4" t="s">
        <v>3198</v>
      </c>
      <c r="P2339" s="4">
        <v>267</v>
      </c>
      <c r="Q2339" s="4" t="str">
        <f t="shared" si="116"/>
        <v>玉溪市</v>
      </c>
      <c r="R2339" s="4">
        <f t="shared" si="114"/>
        <v>25</v>
      </c>
      <c r="S2339" s="4" t="str">
        <f t="shared" si="115"/>
        <v>云南省</v>
      </c>
    </row>
    <row r="2340" spans="14:19">
      <c r="N2340" s="4">
        <v>2339</v>
      </c>
      <c r="O2340" s="4" t="s">
        <v>3199</v>
      </c>
      <c r="P2340" s="4">
        <v>267</v>
      </c>
      <c r="Q2340" s="4" t="str">
        <f t="shared" si="116"/>
        <v>玉溪市</v>
      </c>
      <c r="R2340" s="4">
        <f t="shared" si="114"/>
        <v>25</v>
      </c>
      <c r="S2340" s="4" t="str">
        <f t="shared" si="115"/>
        <v>云南省</v>
      </c>
    </row>
    <row r="2341" spans="14:19">
      <c r="N2341" s="4">
        <v>2340</v>
      </c>
      <c r="O2341" s="4" t="s">
        <v>3200</v>
      </c>
      <c r="P2341" s="4">
        <v>267</v>
      </c>
      <c r="Q2341" s="4" t="str">
        <f t="shared" si="116"/>
        <v>玉溪市</v>
      </c>
      <c r="R2341" s="4">
        <f t="shared" si="114"/>
        <v>25</v>
      </c>
      <c r="S2341" s="4" t="str">
        <f t="shared" si="115"/>
        <v>云南省</v>
      </c>
    </row>
    <row r="2342" spans="14:19">
      <c r="N2342" s="4">
        <v>2341</v>
      </c>
      <c r="O2342" s="4" t="s">
        <v>3201</v>
      </c>
      <c r="P2342" s="4">
        <v>268</v>
      </c>
      <c r="Q2342" s="4" t="str">
        <f t="shared" si="116"/>
        <v>保山市</v>
      </c>
      <c r="R2342" s="4">
        <f t="shared" si="114"/>
        <v>25</v>
      </c>
      <c r="S2342" s="4" t="str">
        <f t="shared" si="115"/>
        <v>云南省</v>
      </c>
    </row>
    <row r="2343" spans="14:19">
      <c r="N2343" s="4">
        <v>2342</v>
      </c>
      <c r="O2343" s="4" t="s">
        <v>3202</v>
      </c>
      <c r="P2343" s="4">
        <v>268</v>
      </c>
      <c r="Q2343" s="4" t="str">
        <f t="shared" si="116"/>
        <v>保山市</v>
      </c>
      <c r="R2343" s="4">
        <f t="shared" si="114"/>
        <v>25</v>
      </c>
      <c r="S2343" s="4" t="str">
        <f t="shared" si="115"/>
        <v>云南省</v>
      </c>
    </row>
    <row r="2344" spans="14:19">
      <c r="N2344" s="4">
        <v>2343</v>
      </c>
      <c r="O2344" s="4" t="s">
        <v>3203</v>
      </c>
      <c r="P2344" s="4">
        <v>268</v>
      </c>
      <c r="Q2344" s="4" t="str">
        <f t="shared" si="116"/>
        <v>保山市</v>
      </c>
      <c r="R2344" s="4">
        <f t="shared" si="114"/>
        <v>25</v>
      </c>
      <c r="S2344" s="4" t="str">
        <f t="shared" si="115"/>
        <v>云南省</v>
      </c>
    </row>
    <row r="2345" spans="14:19">
      <c r="N2345" s="4">
        <v>2344</v>
      </c>
      <c r="O2345" s="4" t="s">
        <v>3204</v>
      </c>
      <c r="P2345" s="4">
        <v>268</v>
      </c>
      <c r="Q2345" s="4" t="str">
        <f t="shared" si="116"/>
        <v>保山市</v>
      </c>
      <c r="R2345" s="4">
        <f t="shared" si="114"/>
        <v>25</v>
      </c>
      <c r="S2345" s="4" t="str">
        <f t="shared" si="115"/>
        <v>云南省</v>
      </c>
    </row>
    <row r="2346" spans="14:19">
      <c r="N2346" s="4">
        <v>2345</v>
      </c>
      <c r="O2346" s="4" t="s">
        <v>3205</v>
      </c>
      <c r="P2346" s="4">
        <v>268</v>
      </c>
      <c r="Q2346" s="4" t="str">
        <f t="shared" si="116"/>
        <v>保山市</v>
      </c>
      <c r="R2346" s="4">
        <f t="shared" si="114"/>
        <v>25</v>
      </c>
      <c r="S2346" s="4" t="str">
        <f t="shared" si="115"/>
        <v>云南省</v>
      </c>
    </row>
    <row r="2347" spans="14:19">
      <c r="N2347" s="4">
        <v>2346</v>
      </c>
      <c r="O2347" s="4" t="s">
        <v>3206</v>
      </c>
      <c r="P2347" s="4">
        <v>269</v>
      </c>
      <c r="Q2347" s="4" t="str">
        <f t="shared" si="116"/>
        <v>昭通市</v>
      </c>
      <c r="R2347" s="4">
        <f t="shared" si="114"/>
        <v>25</v>
      </c>
      <c r="S2347" s="4" t="str">
        <f t="shared" si="115"/>
        <v>云南省</v>
      </c>
    </row>
    <row r="2348" spans="14:19">
      <c r="N2348" s="4">
        <v>2347</v>
      </c>
      <c r="O2348" s="4" t="s">
        <v>3207</v>
      </c>
      <c r="P2348" s="4">
        <v>269</v>
      </c>
      <c r="Q2348" s="4" t="str">
        <f t="shared" si="116"/>
        <v>昭通市</v>
      </c>
      <c r="R2348" s="4">
        <f t="shared" si="114"/>
        <v>25</v>
      </c>
      <c r="S2348" s="4" t="str">
        <f t="shared" si="115"/>
        <v>云南省</v>
      </c>
    </row>
    <row r="2349" spans="14:19">
      <c r="N2349" s="4">
        <v>2348</v>
      </c>
      <c r="O2349" s="4" t="s">
        <v>3208</v>
      </c>
      <c r="P2349" s="4">
        <v>269</v>
      </c>
      <c r="Q2349" s="4" t="str">
        <f t="shared" si="116"/>
        <v>昭通市</v>
      </c>
      <c r="R2349" s="4">
        <f t="shared" si="114"/>
        <v>25</v>
      </c>
      <c r="S2349" s="4" t="str">
        <f t="shared" si="115"/>
        <v>云南省</v>
      </c>
    </row>
    <row r="2350" spans="14:19">
      <c r="N2350" s="4">
        <v>2349</v>
      </c>
      <c r="O2350" s="4" t="s">
        <v>3209</v>
      </c>
      <c r="P2350" s="4">
        <v>269</v>
      </c>
      <c r="Q2350" s="4" t="str">
        <f t="shared" si="116"/>
        <v>昭通市</v>
      </c>
      <c r="R2350" s="4">
        <f t="shared" si="114"/>
        <v>25</v>
      </c>
      <c r="S2350" s="4" t="str">
        <f t="shared" si="115"/>
        <v>云南省</v>
      </c>
    </row>
    <row r="2351" spans="14:19">
      <c r="N2351" s="4">
        <v>2350</v>
      </c>
      <c r="O2351" s="4" t="s">
        <v>3210</v>
      </c>
      <c r="P2351" s="4">
        <v>269</v>
      </c>
      <c r="Q2351" s="4" t="str">
        <f t="shared" si="116"/>
        <v>昭通市</v>
      </c>
      <c r="R2351" s="4">
        <f t="shared" si="114"/>
        <v>25</v>
      </c>
      <c r="S2351" s="4" t="str">
        <f t="shared" si="115"/>
        <v>云南省</v>
      </c>
    </row>
    <row r="2352" spans="14:19">
      <c r="N2352" s="4">
        <v>2351</v>
      </c>
      <c r="O2352" s="4" t="s">
        <v>3211</v>
      </c>
      <c r="P2352" s="4">
        <v>269</v>
      </c>
      <c r="Q2352" s="4" t="str">
        <f t="shared" si="116"/>
        <v>昭通市</v>
      </c>
      <c r="R2352" s="4">
        <f t="shared" si="114"/>
        <v>25</v>
      </c>
      <c r="S2352" s="4" t="str">
        <f t="shared" si="115"/>
        <v>云南省</v>
      </c>
    </row>
    <row r="2353" spans="14:19">
      <c r="N2353" s="4">
        <v>2352</v>
      </c>
      <c r="O2353" s="4" t="s">
        <v>3212</v>
      </c>
      <c r="P2353" s="4">
        <v>269</v>
      </c>
      <c r="Q2353" s="4" t="str">
        <f t="shared" si="116"/>
        <v>昭通市</v>
      </c>
      <c r="R2353" s="4">
        <f t="shared" si="114"/>
        <v>25</v>
      </c>
      <c r="S2353" s="4" t="str">
        <f t="shared" si="115"/>
        <v>云南省</v>
      </c>
    </row>
    <row r="2354" spans="14:19">
      <c r="N2354" s="4">
        <v>2353</v>
      </c>
      <c r="O2354" s="4" t="s">
        <v>3213</v>
      </c>
      <c r="P2354" s="4">
        <v>269</v>
      </c>
      <c r="Q2354" s="4" t="str">
        <f t="shared" si="116"/>
        <v>昭通市</v>
      </c>
      <c r="R2354" s="4">
        <f t="shared" si="114"/>
        <v>25</v>
      </c>
      <c r="S2354" s="4" t="str">
        <f t="shared" si="115"/>
        <v>云南省</v>
      </c>
    </row>
    <row r="2355" spans="14:19">
      <c r="N2355" s="4">
        <v>2354</v>
      </c>
      <c r="O2355" s="4" t="s">
        <v>3214</v>
      </c>
      <c r="P2355" s="4">
        <v>269</v>
      </c>
      <c r="Q2355" s="4" t="str">
        <f t="shared" si="116"/>
        <v>昭通市</v>
      </c>
      <c r="R2355" s="4">
        <f t="shared" si="114"/>
        <v>25</v>
      </c>
      <c r="S2355" s="4" t="str">
        <f t="shared" si="115"/>
        <v>云南省</v>
      </c>
    </row>
    <row r="2356" spans="14:19">
      <c r="N2356" s="4">
        <v>2355</v>
      </c>
      <c r="O2356" s="4" t="s">
        <v>3215</v>
      </c>
      <c r="P2356" s="4">
        <v>269</v>
      </c>
      <c r="Q2356" s="4" t="str">
        <f t="shared" si="116"/>
        <v>昭通市</v>
      </c>
      <c r="R2356" s="4">
        <f t="shared" si="114"/>
        <v>25</v>
      </c>
      <c r="S2356" s="4" t="str">
        <f t="shared" si="115"/>
        <v>云南省</v>
      </c>
    </row>
    <row r="2357" spans="14:19">
      <c r="N2357" s="4">
        <v>2356</v>
      </c>
      <c r="O2357" s="4" t="s">
        <v>3216</v>
      </c>
      <c r="P2357" s="4">
        <v>269</v>
      </c>
      <c r="Q2357" s="4" t="str">
        <f t="shared" si="116"/>
        <v>昭通市</v>
      </c>
      <c r="R2357" s="4">
        <f t="shared" si="114"/>
        <v>25</v>
      </c>
      <c r="S2357" s="4" t="str">
        <f t="shared" si="115"/>
        <v>云南省</v>
      </c>
    </row>
    <row r="2358" spans="14:19">
      <c r="N2358" s="4">
        <v>2357</v>
      </c>
      <c r="O2358" s="4" t="s">
        <v>3217</v>
      </c>
      <c r="P2358" s="4">
        <v>270</v>
      </c>
      <c r="Q2358" s="4" t="str">
        <f t="shared" si="116"/>
        <v>丽江市</v>
      </c>
      <c r="R2358" s="4">
        <f t="shared" si="114"/>
        <v>25</v>
      </c>
      <c r="S2358" s="4" t="str">
        <f t="shared" si="115"/>
        <v>云南省</v>
      </c>
    </row>
    <row r="2359" spans="14:19">
      <c r="N2359" s="4">
        <v>2358</v>
      </c>
      <c r="O2359" s="4" t="s">
        <v>3218</v>
      </c>
      <c r="P2359" s="4">
        <v>270</v>
      </c>
      <c r="Q2359" s="4" t="str">
        <f t="shared" si="116"/>
        <v>丽江市</v>
      </c>
      <c r="R2359" s="4">
        <f t="shared" si="114"/>
        <v>25</v>
      </c>
      <c r="S2359" s="4" t="str">
        <f t="shared" si="115"/>
        <v>云南省</v>
      </c>
    </row>
    <row r="2360" spans="14:19">
      <c r="N2360" s="4">
        <v>2359</v>
      </c>
      <c r="O2360" s="4" t="s">
        <v>3219</v>
      </c>
      <c r="P2360" s="4">
        <v>270</v>
      </c>
      <c r="Q2360" s="4" t="str">
        <f t="shared" si="116"/>
        <v>丽江市</v>
      </c>
      <c r="R2360" s="4">
        <f t="shared" si="114"/>
        <v>25</v>
      </c>
      <c r="S2360" s="4" t="str">
        <f t="shared" si="115"/>
        <v>云南省</v>
      </c>
    </row>
    <row r="2361" spans="14:19">
      <c r="N2361" s="4">
        <v>2360</v>
      </c>
      <c r="O2361" s="4" t="s">
        <v>3220</v>
      </c>
      <c r="P2361" s="4">
        <v>270</v>
      </c>
      <c r="Q2361" s="4" t="str">
        <f t="shared" si="116"/>
        <v>丽江市</v>
      </c>
      <c r="R2361" s="4">
        <f t="shared" si="114"/>
        <v>25</v>
      </c>
      <c r="S2361" s="4" t="str">
        <f t="shared" si="115"/>
        <v>云南省</v>
      </c>
    </row>
    <row r="2362" spans="14:19">
      <c r="N2362" s="4">
        <v>2361</v>
      </c>
      <c r="O2362" s="4" t="s">
        <v>3221</v>
      </c>
      <c r="P2362" s="4">
        <v>270</v>
      </c>
      <c r="Q2362" s="4" t="str">
        <f t="shared" si="116"/>
        <v>丽江市</v>
      </c>
      <c r="R2362" s="4">
        <f t="shared" si="114"/>
        <v>25</v>
      </c>
      <c r="S2362" s="4" t="str">
        <f t="shared" si="115"/>
        <v>云南省</v>
      </c>
    </row>
    <row r="2363" spans="14:19">
      <c r="N2363" s="4">
        <v>2362</v>
      </c>
      <c r="O2363" s="4" t="s">
        <v>3222</v>
      </c>
      <c r="P2363" s="4">
        <v>271</v>
      </c>
      <c r="Q2363" s="4" t="str">
        <f t="shared" si="116"/>
        <v>思茅市</v>
      </c>
      <c r="R2363" s="4">
        <f t="shared" si="114"/>
        <v>25</v>
      </c>
      <c r="S2363" s="4" t="str">
        <f t="shared" si="115"/>
        <v>云南省</v>
      </c>
    </row>
    <row r="2364" spans="14:19">
      <c r="N2364" s="4">
        <v>2363</v>
      </c>
      <c r="O2364" s="4" t="s">
        <v>3223</v>
      </c>
      <c r="P2364" s="4">
        <v>271</v>
      </c>
      <c r="Q2364" s="4" t="str">
        <f t="shared" si="116"/>
        <v>思茅市</v>
      </c>
      <c r="R2364" s="4">
        <f t="shared" si="114"/>
        <v>25</v>
      </c>
      <c r="S2364" s="4" t="str">
        <f t="shared" si="115"/>
        <v>云南省</v>
      </c>
    </row>
    <row r="2365" spans="14:19">
      <c r="N2365" s="4">
        <v>2364</v>
      </c>
      <c r="O2365" s="4" t="s">
        <v>3224</v>
      </c>
      <c r="P2365" s="4">
        <v>271</v>
      </c>
      <c r="Q2365" s="4" t="str">
        <f t="shared" si="116"/>
        <v>思茅市</v>
      </c>
      <c r="R2365" s="4">
        <f t="shared" si="114"/>
        <v>25</v>
      </c>
      <c r="S2365" s="4" t="str">
        <f t="shared" si="115"/>
        <v>云南省</v>
      </c>
    </row>
    <row r="2366" spans="14:19">
      <c r="N2366" s="4">
        <v>2365</v>
      </c>
      <c r="O2366" s="4" t="s">
        <v>3225</v>
      </c>
      <c r="P2366" s="4">
        <v>271</v>
      </c>
      <c r="Q2366" s="4" t="str">
        <f t="shared" si="116"/>
        <v>思茅市</v>
      </c>
      <c r="R2366" s="4">
        <f t="shared" si="114"/>
        <v>25</v>
      </c>
      <c r="S2366" s="4" t="str">
        <f t="shared" si="115"/>
        <v>云南省</v>
      </c>
    </row>
    <row r="2367" spans="14:19">
      <c r="N2367" s="4">
        <v>2366</v>
      </c>
      <c r="O2367" s="4" t="s">
        <v>3226</v>
      </c>
      <c r="P2367" s="4">
        <v>271</v>
      </c>
      <c r="Q2367" s="4" t="str">
        <f t="shared" si="116"/>
        <v>思茅市</v>
      </c>
      <c r="R2367" s="4">
        <f t="shared" si="114"/>
        <v>25</v>
      </c>
      <c r="S2367" s="4" t="str">
        <f t="shared" si="115"/>
        <v>云南省</v>
      </c>
    </row>
    <row r="2368" spans="14:19">
      <c r="N2368" s="4">
        <v>2367</v>
      </c>
      <c r="O2368" s="4" t="s">
        <v>3227</v>
      </c>
      <c r="P2368" s="4">
        <v>271</v>
      </c>
      <c r="Q2368" s="4" t="str">
        <f t="shared" si="116"/>
        <v>思茅市</v>
      </c>
      <c r="R2368" s="4">
        <f t="shared" si="114"/>
        <v>25</v>
      </c>
      <c r="S2368" s="4" t="str">
        <f t="shared" si="115"/>
        <v>云南省</v>
      </c>
    </row>
    <row r="2369" spans="14:19">
      <c r="N2369" s="4">
        <v>2368</v>
      </c>
      <c r="O2369" s="4" t="s">
        <v>3228</v>
      </c>
      <c r="P2369" s="4">
        <v>271</v>
      </c>
      <c r="Q2369" s="4" t="str">
        <f t="shared" si="116"/>
        <v>思茅市</v>
      </c>
      <c r="R2369" s="4">
        <f t="shared" si="114"/>
        <v>25</v>
      </c>
      <c r="S2369" s="4" t="str">
        <f t="shared" si="115"/>
        <v>云南省</v>
      </c>
    </row>
    <row r="2370" spans="14:19">
      <c r="N2370" s="4">
        <v>2369</v>
      </c>
      <c r="O2370" s="4" t="s">
        <v>3229</v>
      </c>
      <c r="P2370" s="4">
        <v>271</v>
      </c>
      <c r="Q2370" s="4" t="str">
        <f t="shared" si="116"/>
        <v>思茅市</v>
      </c>
      <c r="R2370" s="4">
        <f t="shared" ref="R2370:R2433" si="117">VLOOKUP(P2370,$I$2:$M$346,3,FALSE)</f>
        <v>25</v>
      </c>
      <c r="S2370" s="4" t="str">
        <f t="shared" ref="S2370:S2433" si="118">VLOOKUP(P2370,$I$2:$M$346,4,FALSE)</f>
        <v>云南省</v>
      </c>
    </row>
    <row r="2371" spans="14:19">
      <c r="N2371" s="4">
        <v>2370</v>
      </c>
      <c r="O2371" s="4" t="s">
        <v>3230</v>
      </c>
      <c r="P2371" s="4">
        <v>271</v>
      </c>
      <c r="Q2371" s="4" t="str">
        <f t="shared" ref="Q2371:Q2434" si="119">VLOOKUP(P2371,$I$2:$J$346,2,FALSE)</f>
        <v>思茅市</v>
      </c>
      <c r="R2371" s="4">
        <f t="shared" si="117"/>
        <v>25</v>
      </c>
      <c r="S2371" s="4" t="str">
        <f t="shared" si="118"/>
        <v>云南省</v>
      </c>
    </row>
    <row r="2372" spans="14:19">
      <c r="N2372" s="4">
        <v>2371</v>
      </c>
      <c r="O2372" s="4" t="s">
        <v>3231</v>
      </c>
      <c r="P2372" s="4">
        <v>271</v>
      </c>
      <c r="Q2372" s="4" t="str">
        <f t="shared" si="119"/>
        <v>思茅市</v>
      </c>
      <c r="R2372" s="4">
        <f t="shared" si="117"/>
        <v>25</v>
      </c>
      <c r="S2372" s="4" t="str">
        <f t="shared" si="118"/>
        <v>云南省</v>
      </c>
    </row>
    <row r="2373" spans="14:19">
      <c r="N2373" s="4">
        <v>2372</v>
      </c>
      <c r="O2373" s="4" t="s">
        <v>3232</v>
      </c>
      <c r="P2373" s="4">
        <v>272</v>
      </c>
      <c r="Q2373" s="4" t="str">
        <f t="shared" si="119"/>
        <v>临沧市</v>
      </c>
      <c r="R2373" s="4">
        <f t="shared" si="117"/>
        <v>25</v>
      </c>
      <c r="S2373" s="4" t="str">
        <f t="shared" si="118"/>
        <v>云南省</v>
      </c>
    </row>
    <row r="2374" spans="14:19">
      <c r="N2374" s="4">
        <v>2373</v>
      </c>
      <c r="O2374" s="4" t="s">
        <v>3233</v>
      </c>
      <c r="P2374" s="4">
        <v>272</v>
      </c>
      <c r="Q2374" s="4" t="str">
        <f t="shared" si="119"/>
        <v>临沧市</v>
      </c>
      <c r="R2374" s="4">
        <f t="shared" si="117"/>
        <v>25</v>
      </c>
      <c r="S2374" s="4" t="str">
        <f t="shared" si="118"/>
        <v>云南省</v>
      </c>
    </row>
    <row r="2375" spans="14:19">
      <c r="N2375" s="4">
        <v>2374</v>
      </c>
      <c r="O2375" s="4" t="s">
        <v>3234</v>
      </c>
      <c r="P2375" s="4">
        <v>272</v>
      </c>
      <c r="Q2375" s="4" t="str">
        <f t="shared" si="119"/>
        <v>临沧市</v>
      </c>
      <c r="R2375" s="4">
        <f t="shared" si="117"/>
        <v>25</v>
      </c>
      <c r="S2375" s="4" t="str">
        <f t="shared" si="118"/>
        <v>云南省</v>
      </c>
    </row>
    <row r="2376" spans="14:19">
      <c r="N2376" s="4">
        <v>2375</v>
      </c>
      <c r="O2376" s="4" t="s">
        <v>3235</v>
      </c>
      <c r="P2376" s="4">
        <v>272</v>
      </c>
      <c r="Q2376" s="4" t="str">
        <f t="shared" si="119"/>
        <v>临沧市</v>
      </c>
      <c r="R2376" s="4">
        <f t="shared" si="117"/>
        <v>25</v>
      </c>
      <c r="S2376" s="4" t="str">
        <f t="shared" si="118"/>
        <v>云南省</v>
      </c>
    </row>
    <row r="2377" spans="14:19">
      <c r="N2377" s="4">
        <v>2376</v>
      </c>
      <c r="O2377" s="4" t="s">
        <v>3236</v>
      </c>
      <c r="P2377" s="4">
        <v>272</v>
      </c>
      <c r="Q2377" s="4" t="str">
        <f t="shared" si="119"/>
        <v>临沧市</v>
      </c>
      <c r="R2377" s="4">
        <f t="shared" si="117"/>
        <v>25</v>
      </c>
      <c r="S2377" s="4" t="str">
        <f t="shared" si="118"/>
        <v>云南省</v>
      </c>
    </row>
    <row r="2378" spans="14:19">
      <c r="N2378" s="4">
        <v>2377</v>
      </c>
      <c r="O2378" s="4" t="s">
        <v>3237</v>
      </c>
      <c r="P2378" s="4">
        <v>272</v>
      </c>
      <c r="Q2378" s="4" t="str">
        <f t="shared" si="119"/>
        <v>临沧市</v>
      </c>
      <c r="R2378" s="4">
        <f t="shared" si="117"/>
        <v>25</v>
      </c>
      <c r="S2378" s="4" t="str">
        <f t="shared" si="118"/>
        <v>云南省</v>
      </c>
    </row>
    <row r="2379" spans="14:19">
      <c r="N2379" s="4">
        <v>2378</v>
      </c>
      <c r="O2379" s="4" t="s">
        <v>3238</v>
      </c>
      <c r="P2379" s="4">
        <v>272</v>
      </c>
      <c r="Q2379" s="4" t="str">
        <f t="shared" si="119"/>
        <v>临沧市</v>
      </c>
      <c r="R2379" s="4">
        <f t="shared" si="117"/>
        <v>25</v>
      </c>
      <c r="S2379" s="4" t="str">
        <f t="shared" si="118"/>
        <v>云南省</v>
      </c>
    </row>
    <row r="2380" spans="14:19">
      <c r="N2380" s="4">
        <v>2379</v>
      </c>
      <c r="O2380" s="4" t="s">
        <v>3239</v>
      </c>
      <c r="P2380" s="4">
        <v>272</v>
      </c>
      <c r="Q2380" s="4" t="str">
        <f t="shared" si="119"/>
        <v>临沧市</v>
      </c>
      <c r="R2380" s="4">
        <f t="shared" si="117"/>
        <v>25</v>
      </c>
      <c r="S2380" s="4" t="str">
        <f t="shared" si="118"/>
        <v>云南省</v>
      </c>
    </row>
    <row r="2381" spans="14:19">
      <c r="N2381" s="4">
        <v>2380</v>
      </c>
      <c r="O2381" s="4" t="s">
        <v>3240</v>
      </c>
      <c r="P2381" s="4">
        <v>273</v>
      </c>
      <c r="Q2381" s="4" t="str">
        <f t="shared" si="119"/>
        <v>楚雄彝族自治州</v>
      </c>
      <c r="R2381" s="4">
        <f t="shared" si="117"/>
        <v>25</v>
      </c>
      <c r="S2381" s="4" t="str">
        <f t="shared" si="118"/>
        <v>云南省</v>
      </c>
    </row>
    <row r="2382" spans="14:19">
      <c r="N2382" s="4">
        <v>2381</v>
      </c>
      <c r="O2382" s="4" t="s">
        <v>3241</v>
      </c>
      <c r="P2382" s="4">
        <v>273</v>
      </c>
      <c r="Q2382" s="4" t="str">
        <f t="shared" si="119"/>
        <v>楚雄彝族自治州</v>
      </c>
      <c r="R2382" s="4">
        <f t="shared" si="117"/>
        <v>25</v>
      </c>
      <c r="S2382" s="4" t="str">
        <f t="shared" si="118"/>
        <v>云南省</v>
      </c>
    </row>
    <row r="2383" spans="14:19">
      <c r="N2383" s="4">
        <v>2382</v>
      </c>
      <c r="O2383" s="4" t="s">
        <v>3242</v>
      </c>
      <c r="P2383" s="4">
        <v>273</v>
      </c>
      <c r="Q2383" s="4" t="str">
        <f t="shared" si="119"/>
        <v>楚雄彝族自治州</v>
      </c>
      <c r="R2383" s="4">
        <f t="shared" si="117"/>
        <v>25</v>
      </c>
      <c r="S2383" s="4" t="str">
        <f t="shared" si="118"/>
        <v>云南省</v>
      </c>
    </row>
    <row r="2384" spans="14:19">
      <c r="N2384" s="4">
        <v>2383</v>
      </c>
      <c r="O2384" s="4" t="s">
        <v>3243</v>
      </c>
      <c r="P2384" s="4">
        <v>273</v>
      </c>
      <c r="Q2384" s="4" t="str">
        <f t="shared" si="119"/>
        <v>楚雄彝族自治州</v>
      </c>
      <c r="R2384" s="4">
        <f t="shared" si="117"/>
        <v>25</v>
      </c>
      <c r="S2384" s="4" t="str">
        <f t="shared" si="118"/>
        <v>云南省</v>
      </c>
    </row>
    <row r="2385" spans="14:19">
      <c r="N2385" s="4">
        <v>2384</v>
      </c>
      <c r="O2385" s="4" t="s">
        <v>3244</v>
      </c>
      <c r="P2385" s="4">
        <v>273</v>
      </c>
      <c r="Q2385" s="4" t="str">
        <f t="shared" si="119"/>
        <v>楚雄彝族自治州</v>
      </c>
      <c r="R2385" s="4">
        <f t="shared" si="117"/>
        <v>25</v>
      </c>
      <c r="S2385" s="4" t="str">
        <f t="shared" si="118"/>
        <v>云南省</v>
      </c>
    </row>
    <row r="2386" spans="14:19">
      <c r="N2386" s="4">
        <v>2385</v>
      </c>
      <c r="O2386" s="4" t="s">
        <v>3245</v>
      </c>
      <c r="P2386" s="4">
        <v>273</v>
      </c>
      <c r="Q2386" s="4" t="str">
        <f t="shared" si="119"/>
        <v>楚雄彝族自治州</v>
      </c>
      <c r="R2386" s="4">
        <f t="shared" si="117"/>
        <v>25</v>
      </c>
      <c r="S2386" s="4" t="str">
        <f t="shared" si="118"/>
        <v>云南省</v>
      </c>
    </row>
    <row r="2387" spans="14:19">
      <c r="N2387" s="4">
        <v>2386</v>
      </c>
      <c r="O2387" s="4" t="s">
        <v>3246</v>
      </c>
      <c r="P2387" s="4">
        <v>273</v>
      </c>
      <c r="Q2387" s="4" t="str">
        <f t="shared" si="119"/>
        <v>楚雄彝族自治州</v>
      </c>
      <c r="R2387" s="4">
        <f t="shared" si="117"/>
        <v>25</v>
      </c>
      <c r="S2387" s="4" t="str">
        <f t="shared" si="118"/>
        <v>云南省</v>
      </c>
    </row>
    <row r="2388" spans="14:19">
      <c r="N2388" s="4">
        <v>2387</v>
      </c>
      <c r="O2388" s="4" t="s">
        <v>3247</v>
      </c>
      <c r="P2388" s="4">
        <v>273</v>
      </c>
      <c r="Q2388" s="4" t="str">
        <f t="shared" si="119"/>
        <v>楚雄彝族自治州</v>
      </c>
      <c r="R2388" s="4">
        <f t="shared" si="117"/>
        <v>25</v>
      </c>
      <c r="S2388" s="4" t="str">
        <f t="shared" si="118"/>
        <v>云南省</v>
      </c>
    </row>
    <row r="2389" spans="14:19">
      <c r="N2389" s="4">
        <v>2388</v>
      </c>
      <c r="O2389" s="4" t="s">
        <v>3248</v>
      </c>
      <c r="P2389" s="4">
        <v>273</v>
      </c>
      <c r="Q2389" s="4" t="str">
        <f t="shared" si="119"/>
        <v>楚雄彝族自治州</v>
      </c>
      <c r="R2389" s="4">
        <f t="shared" si="117"/>
        <v>25</v>
      </c>
      <c r="S2389" s="4" t="str">
        <f t="shared" si="118"/>
        <v>云南省</v>
      </c>
    </row>
    <row r="2390" spans="14:19">
      <c r="N2390" s="4">
        <v>2389</v>
      </c>
      <c r="O2390" s="4" t="s">
        <v>3249</v>
      </c>
      <c r="P2390" s="4">
        <v>273</v>
      </c>
      <c r="Q2390" s="4" t="str">
        <f t="shared" si="119"/>
        <v>楚雄彝族自治州</v>
      </c>
      <c r="R2390" s="4">
        <f t="shared" si="117"/>
        <v>25</v>
      </c>
      <c r="S2390" s="4" t="str">
        <f t="shared" si="118"/>
        <v>云南省</v>
      </c>
    </row>
    <row r="2391" spans="14:19">
      <c r="N2391" s="4">
        <v>2390</v>
      </c>
      <c r="O2391" s="4" t="s">
        <v>3250</v>
      </c>
      <c r="P2391" s="4">
        <v>274</v>
      </c>
      <c r="Q2391" s="4" t="str">
        <f t="shared" si="119"/>
        <v>红河哈尼族彝族自治州</v>
      </c>
      <c r="R2391" s="4">
        <f t="shared" si="117"/>
        <v>25</v>
      </c>
      <c r="S2391" s="4" t="str">
        <f t="shared" si="118"/>
        <v>云南省</v>
      </c>
    </row>
    <row r="2392" spans="14:19">
      <c r="N2392" s="4">
        <v>2391</v>
      </c>
      <c r="O2392" s="4" t="s">
        <v>3251</v>
      </c>
      <c r="P2392" s="4">
        <v>274</v>
      </c>
      <c r="Q2392" s="4" t="str">
        <f t="shared" si="119"/>
        <v>红河哈尼族彝族自治州</v>
      </c>
      <c r="R2392" s="4">
        <f t="shared" si="117"/>
        <v>25</v>
      </c>
      <c r="S2392" s="4" t="str">
        <f t="shared" si="118"/>
        <v>云南省</v>
      </c>
    </row>
    <row r="2393" spans="14:19">
      <c r="N2393" s="4">
        <v>2392</v>
      </c>
      <c r="O2393" s="4" t="s">
        <v>3252</v>
      </c>
      <c r="P2393" s="4">
        <v>274</v>
      </c>
      <c r="Q2393" s="4" t="str">
        <f t="shared" si="119"/>
        <v>红河哈尼族彝族自治州</v>
      </c>
      <c r="R2393" s="4">
        <f t="shared" si="117"/>
        <v>25</v>
      </c>
      <c r="S2393" s="4" t="str">
        <f t="shared" si="118"/>
        <v>云南省</v>
      </c>
    </row>
    <row r="2394" spans="14:19">
      <c r="N2394" s="4">
        <v>2393</v>
      </c>
      <c r="O2394" s="4" t="s">
        <v>3253</v>
      </c>
      <c r="P2394" s="4">
        <v>274</v>
      </c>
      <c r="Q2394" s="4" t="str">
        <f t="shared" si="119"/>
        <v>红河哈尼族彝族自治州</v>
      </c>
      <c r="R2394" s="4">
        <f t="shared" si="117"/>
        <v>25</v>
      </c>
      <c r="S2394" s="4" t="str">
        <f t="shared" si="118"/>
        <v>云南省</v>
      </c>
    </row>
    <row r="2395" spans="14:19">
      <c r="N2395" s="4">
        <v>2394</v>
      </c>
      <c r="O2395" s="4" t="s">
        <v>3254</v>
      </c>
      <c r="P2395" s="4">
        <v>274</v>
      </c>
      <c r="Q2395" s="4" t="str">
        <f t="shared" si="119"/>
        <v>红河哈尼族彝族自治州</v>
      </c>
      <c r="R2395" s="4">
        <f t="shared" si="117"/>
        <v>25</v>
      </c>
      <c r="S2395" s="4" t="str">
        <f t="shared" si="118"/>
        <v>云南省</v>
      </c>
    </row>
    <row r="2396" spans="14:19">
      <c r="N2396" s="4">
        <v>2395</v>
      </c>
      <c r="O2396" s="4" t="s">
        <v>3255</v>
      </c>
      <c r="P2396" s="4">
        <v>274</v>
      </c>
      <c r="Q2396" s="4" t="str">
        <f t="shared" si="119"/>
        <v>红河哈尼族彝族自治州</v>
      </c>
      <c r="R2396" s="4">
        <f t="shared" si="117"/>
        <v>25</v>
      </c>
      <c r="S2396" s="4" t="str">
        <f t="shared" si="118"/>
        <v>云南省</v>
      </c>
    </row>
    <row r="2397" spans="14:19">
      <c r="N2397" s="4">
        <v>2396</v>
      </c>
      <c r="O2397" s="4" t="s">
        <v>3256</v>
      </c>
      <c r="P2397" s="4">
        <v>274</v>
      </c>
      <c r="Q2397" s="4" t="str">
        <f t="shared" si="119"/>
        <v>红河哈尼族彝族自治州</v>
      </c>
      <c r="R2397" s="4">
        <f t="shared" si="117"/>
        <v>25</v>
      </c>
      <c r="S2397" s="4" t="str">
        <f t="shared" si="118"/>
        <v>云南省</v>
      </c>
    </row>
    <row r="2398" spans="14:19">
      <c r="N2398" s="4">
        <v>2397</v>
      </c>
      <c r="O2398" s="4" t="s">
        <v>3257</v>
      </c>
      <c r="P2398" s="4">
        <v>274</v>
      </c>
      <c r="Q2398" s="4" t="str">
        <f t="shared" si="119"/>
        <v>红河哈尼族彝族自治州</v>
      </c>
      <c r="R2398" s="4">
        <f t="shared" si="117"/>
        <v>25</v>
      </c>
      <c r="S2398" s="4" t="str">
        <f t="shared" si="118"/>
        <v>云南省</v>
      </c>
    </row>
    <row r="2399" spans="14:19">
      <c r="N2399" s="4">
        <v>2398</v>
      </c>
      <c r="O2399" s="4" t="s">
        <v>3258</v>
      </c>
      <c r="P2399" s="4">
        <v>274</v>
      </c>
      <c r="Q2399" s="4" t="str">
        <f t="shared" si="119"/>
        <v>红河哈尼族彝族自治州</v>
      </c>
      <c r="R2399" s="4">
        <f t="shared" si="117"/>
        <v>25</v>
      </c>
      <c r="S2399" s="4" t="str">
        <f t="shared" si="118"/>
        <v>云南省</v>
      </c>
    </row>
    <row r="2400" spans="14:19">
      <c r="N2400" s="4">
        <v>2399</v>
      </c>
      <c r="O2400" s="4" t="s">
        <v>3259</v>
      </c>
      <c r="P2400" s="4">
        <v>274</v>
      </c>
      <c r="Q2400" s="4" t="str">
        <f t="shared" si="119"/>
        <v>红河哈尼族彝族自治州</v>
      </c>
      <c r="R2400" s="4">
        <f t="shared" si="117"/>
        <v>25</v>
      </c>
      <c r="S2400" s="4" t="str">
        <f t="shared" si="118"/>
        <v>云南省</v>
      </c>
    </row>
    <row r="2401" spans="14:19">
      <c r="N2401" s="4">
        <v>2400</v>
      </c>
      <c r="O2401" s="4" t="s">
        <v>3260</v>
      </c>
      <c r="P2401" s="4">
        <v>274</v>
      </c>
      <c r="Q2401" s="4" t="str">
        <f t="shared" si="119"/>
        <v>红河哈尼族彝族自治州</v>
      </c>
      <c r="R2401" s="4">
        <f t="shared" si="117"/>
        <v>25</v>
      </c>
      <c r="S2401" s="4" t="str">
        <f t="shared" si="118"/>
        <v>云南省</v>
      </c>
    </row>
    <row r="2402" spans="14:19">
      <c r="N2402" s="4">
        <v>2401</v>
      </c>
      <c r="O2402" s="4" t="s">
        <v>3261</v>
      </c>
      <c r="P2402" s="4">
        <v>274</v>
      </c>
      <c r="Q2402" s="4" t="str">
        <f t="shared" si="119"/>
        <v>红河哈尼族彝族自治州</v>
      </c>
      <c r="R2402" s="4">
        <f t="shared" si="117"/>
        <v>25</v>
      </c>
      <c r="S2402" s="4" t="str">
        <f t="shared" si="118"/>
        <v>云南省</v>
      </c>
    </row>
    <row r="2403" spans="14:19">
      <c r="N2403" s="4">
        <v>2402</v>
      </c>
      <c r="O2403" s="4" t="s">
        <v>3262</v>
      </c>
      <c r="P2403" s="4">
        <v>274</v>
      </c>
      <c r="Q2403" s="4" t="str">
        <f t="shared" si="119"/>
        <v>红河哈尼族彝族自治州</v>
      </c>
      <c r="R2403" s="4">
        <f t="shared" si="117"/>
        <v>25</v>
      </c>
      <c r="S2403" s="4" t="str">
        <f t="shared" si="118"/>
        <v>云南省</v>
      </c>
    </row>
    <row r="2404" spans="14:19">
      <c r="N2404" s="4">
        <v>2403</v>
      </c>
      <c r="O2404" s="4" t="s">
        <v>3263</v>
      </c>
      <c r="P2404" s="4">
        <v>275</v>
      </c>
      <c r="Q2404" s="4" t="str">
        <f t="shared" si="119"/>
        <v>文山壮族苗族自治州</v>
      </c>
      <c r="R2404" s="4">
        <f t="shared" si="117"/>
        <v>25</v>
      </c>
      <c r="S2404" s="4" t="str">
        <f t="shared" si="118"/>
        <v>云南省</v>
      </c>
    </row>
    <row r="2405" spans="14:19">
      <c r="N2405" s="4">
        <v>2404</v>
      </c>
      <c r="O2405" s="4" t="s">
        <v>3264</v>
      </c>
      <c r="P2405" s="4">
        <v>275</v>
      </c>
      <c r="Q2405" s="4" t="str">
        <f t="shared" si="119"/>
        <v>文山壮族苗族自治州</v>
      </c>
      <c r="R2405" s="4">
        <f t="shared" si="117"/>
        <v>25</v>
      </c>
      <c r="S2405" s="4" t="str">
        <f t="shared" si="118"/>
        <v>云南省</v>
      </c>
    </row>
    <row r="2406" spans="14:19">
      <c r="N2406" s="4">
        <v>2405</v>
      </c>
      <c r="O2406" s="4" t="s">
        <v>3265</v>
      </c>
      <c r="P2406" s="4">
        <v>275</v>
      </c>
      <c r="Q2406" s="4" t="str">
        <f t="shared" si="119"/>
        <v>文山壮族苗族自治州</v>
      </c>
      <c r="R2406" s="4">
        <f t="shared" si="117"/>
        <v>25</v>
      </c>
      <c r="S2406" s="4" t="str">
        <f t="shared" si="118"/>
        <v>云南省</v>
      </c>
    </row>
    <row r="2407" spans="14:19">
      <c r="N2407" s="4">
        <v>2406</v>
      </c>
      <c r="O2407" s="4" t="s">
        <v>3266</v>
      </c>
      <c r="P2407" s="4">
        <v>275</v>
      </c>
      <c r="Q2407" s="4" t="str">
        <f t="shared" si="119"/>
        <v>文山壮族苗族自治州</v>
      </c>
      <c r="R2407" s="4">
        <f t="shared" si="117"/>
        <v>25</v>
      </c>
      <c r="S2407" s="4" t="str">
        <f t="shared" si="118"/>
        <v>云南省</v>
      </c>
    </row>
    <row r="2408" spans="14:19">
      <c r="N2408" s="4">
        <v>2407</v>
      </c>
      <c r="O2408" s="4" t="s">
        <v>3267</v>
      </c>
      <c r="P2408" s="4">
        <v>275</v>
      </c>
      <c r="Q2408" s="4" t="str">
        <f t="shared" si="119"/>
        <v>文山壮族苗族自治州</v>
      </c>
      <c r="R2408" s="4">
        <f t="shared" si="117"/>
        <v>25</v>
      </c>
      <c r="S2408" s="4" t="str">
        <f t="shared" si="118"/>
        <v>云南省</v>
      </c>
    </row>
    <row r="2409" spans="14:19">
      <c r="N2409" s="4">
        <v>2408</v>
      </c>
      <c r="O2409" s="4" t="s">
        <v>3268</v>
      </c>
      <c r="P2409" s="4">
        <v>275</v>
      </c>
      <c r="Q2409" s="4" t="str">
        <f t="shared" si="119"/>
        <v>文山壮族苗族自治州</v>
      </c>
      <c r="R2409" s="4">
        <f t="shared" si="117"/>
        <v>25</v>
      </c>
      <c r="S2409" s="4" t="str">
        <f t="shared" si="118"/>
        <v>云南省</v>
      </c>
    </row>
    <row r="2410" spans="14:19">
      <c r="N2410" s="4">
        <v>2409</v>
      </c>
      <c r="O2410" s="4" t="s">
        <v>3269</v>
      </c>
      <c r="P2410" s="4">
        <v>275</v>
      </c>
      <c r="Q2410" s="4" t="str">
        <f t="shared" si="119"/>
        <v>文山壮族苗族自治州</v>
      </c>
      <c r="R2410" s="4">
        <f t="shared" si="117"/>
        <v>25</v>
      </c>
      <c r="S2410" s="4" t="str">
        <f t="shared" si="118"/>
        <v>云南省</v>
      </c>
    </row>
    <row r="2411" spans="14:19">
      <c r="N2411" s="4">
        <v>2410</v>
      </c>
      <c r="O2411" s="4" t="s">
        <v>3270</v>
      </c>
      <c r="P2411" s="4">
        <v>275</v>
      </c>
      <c r="Q2411" s="4" t="str">
        <f t="shared" si="119"/>
        <v>文山壮族苗族自治州</v>
      </c>
      <c r="R2411" s="4">
        <f t="shared" si="117"/>
        <v>25</v>
      </c>
      <c r="S2411" s="4" t="str">
        <f t="shared" si="118"/>
        <v>云南省</v>
      </c>
    </row>
    <row r="2412" spans="14:19">
      <c r="N2412" s="4">
        <v>2411</v>
      </c>
      <c r="O2412" s="4" t="s">
        <v>3271</v>
      </c>
      <c r="P2412" s="4">
        <v>276</v>
      </c>
      <c r="Q2412" s="4" t="str">
        <f t="shared" si="119"/>
        <v>西双版纳傣族自治州</v>
      </c>
      <c r="R2412" s="4">
        <f t="shared" si="117"/>
        <v>25</v>
      </c>
      <c r="S2412" s="4" t="str">
        <f t="shared" si="118"/>
        <v>云南省</v>
      </c>
    </row>
    <row r="2413" spans="14:19">
      <c r="N2413" s="4">
        <v>2412</v>
      </c>
      <c r="O2413" s="4" t="s">
        <v>3272</v>
      </c>
      <c r="P2413" s="4">
        <v>276</v>
      </c>
      <c r="Q2413" s="4" t="str">
        <f t="shared" si="119"/>
        <v>西双版纳傣族自治州</v>
      </c>
      <c r="R2413" s="4">
        <f t="shared" si="117"/>
        <v>25</v>
      </c>
      <c r="S2413" s="4" t="str">
        <f t="shared" si="118"/>
        <v>云南省</v>
      </c>
    </row>
    <row r="2414" spans="14:19">
      <c r="N2414" s="4">
        <v>2413</v>
      </c>
      <c r="O2414" s="4" t="s">
        <v>3273</v>
      </c>
      <c r="P2414" s="4">
        <v>276</v>
      </c>
      <c r="Q2414" s="4" t="str">
        <f t="shared" si="119"/>
        <v>西双版纳傣族自治州</v>
      </c>
      <c r="R2414" s="4">
        <f t="shared" si="117"/>
        <v>25</v>
      </c>
      <c r="S2414" s="4" t="str">
        <f t="shared" si="118"/>
        <v>云南省</v>
      </c>
    </row>
    <row r="2415" spans="14:19">
      <c r="N2415" s="4">
        <v>2414</v>
      </c>
      <c r="O2415" s="4" t="s">
        <v>3274</v>
      </c>
      <c r="P2415" s="4">
        <v>277</v>
      </c>
      <c r="Q2415" s="4" t="str">
        <f t="shared" si="119"/>
        <v>大理白族自治州</v>
      </c>
      <c r="R2415" s="4">
        <f t="shared" si="117"/>
        <v>25</v>
      </c>
      <c r="S2415" s="4" t="str">
        <f t="shared" si="118"/>
        <v>云南省</v>
      </c>
    </row>
    <row r="2416" spans="14:19">
      <c r="N2416" s="4">
        <v>2415</v>
      </c>
      <c r="O2416" s="4" t="s">
        <v>3275</v>
      </c>
      <c r="P2416" s="4">
        <v>277</v>
      </c>
      <c r="Q2416" s="4" t="str">
        <f t="shared" si="119"/>
        <v>大理白族自治州</v>
      </c>
      <c r="R2416" s="4">
        <f t="shared" si="117"/>
        <v>25</v>
      </c>
      <c r="S2416" s="4" t="str">
        <f t="shared" si="118"/>
        <v>云南省</v>
      </c>
    </row>
    <row r="2417" spans="14:19">
      <c r="N2417" s="4">
        <v>2416</v>
      </c>
      <c r="O2417" s="4" t="s">
        <v>3276</v>
      </c>
      <c r="P2417" s="4">
        <v>277</v>
      </c>
      <c r="Q2417" s="4" t="str">
        <f t="shared" si="119"/>
        <v>大理白族自治州</v>
      </c>
      <c r="R2417" s="4">
        <f t="shared" si="117"/>
        <v>25</v>
      </c>
      <c r="S2417" s="4" t="str">
        <f t="shared" si="118"/>
        <v>云南省</v>
      </c>
    </row>
    <row r="2418" spans="14:19">
      <c r="N2418" s="4">
        <v>2417</v>
      </c>
      <c r="O2418" s="4" t="s">
        <v>3277</v>
      </c>
      <c r="P2418" s="4">
        <v>277</v>
      </c>
      <c r="Q2418" s="4" t="str">
        <f t="shared" si="119"/>
        <v>大理白族自治州</v>
      </c>
      <c r="R2418" s="4">
        <f t="shared" si="117"/>
        <v>25</v>
      </c>
      <c r="S2418" s="4" t="str">
        <f t="shared" si="118"/>
        <v>云南省</v>
      </c>
    </row>
    <row r="2419" spans="14:19">
      <c r="N2419" s="4">
        <v>2418</v>
      </c>
      <c r="O2419" s="4" t="s">
        <v>3278</v>
      </c>
      <c r="P2419" s="4">
        <v>277</v>
      </c>
      <c r="Q2419" s="4" t="str">
        <f t="shared" si="119"/>
        <v>大理白族自治州</v>
      </c>
      <c r="R2419" s="4">
        <f t="shared" si="117"/>
        <v>25</v>
      </c>
      <c r="S2419" s="4" t="str">
        <f t="shared" si="118"/>
        <v>云南省</v>
      </c>
    </row>
    <row r="2420" spans="14:19">
      <c r="N2420" s="4">
        <v>2419</v>
      </c>
      <c r="O2420" s="4" t="s">
        <v>3279</v>
      </c>
      <c r="P2420" s="4">
        <v>277</v>
      </c>
      <c r="Q2420" s="4" t="str">
        <f t="shared" si="119"/>
        <v>大理白族自治州</v>
      </c>
      <c r="R2420" s="4">
        <f t="shared" si="117"/>
        <v>25</v>
      </c>
      <c r="S2420" s="4" t="str">
        <f t="shared" si="118"/>
        <v>云南省</v>
      </c>
    </row>
    <row r="2421" spans="14:19">
      <c r="N2421" s="4">
        <v>2420</v>
      </c>
      <c r="O2421" s="4" t="s">
        <v>3280</v>
      </c>
      <c r="P2421" s="4">
        <v>277</v>
      </c>
      <c r="Q2421" s="4" t="str">
        <f t="shared" si="119"/>
        <v>大理白族自治州</v>
      </c>
      <c r="R2421" s="4">
        <f t="shared" si="117"/>
        <v>25</v>
      </c>
      <c r="S2421" s="4" t="str">
        <f t="shared" si="118"/>
        <v>云南省</v>
      </c>
    </row>
    <row r="2422" spans="14:19">
      <c r="N2422" s="4">
        <v>2421</v>
      </c>
      <c r="O2422" s="4" t="s">
        <v>3281</v>
      </c>
      <c r="P2422" s="4">
        <v>277</v>
      </c>
      <c r="Q2422" s="4" t="str">
        <f t="shared" si="119"/>
        <v>大理白族自治州</v>
      </c>
      <c r="R2422" s="4">
        <f t="shared" si="117"/>
        <v>25</v>
      </c>
      <c r="S2422" s="4" t="str">
        <f t="shared" si="118"/>
        <v>云南省</v>
      </c>
    </row>
    <row r="2423" spans="14:19">
      <c r="N2423" s="4">
        <v>2422</v>
      </c>
      <c r="O2423" s="4" t="s">
        <v>3282</v>
      </c>
      <c r="P2423" s="4">
        <v>277</v>
      </c>
      <c r="Q2423" s="4" t="str">
        <f t="shared" si="119"/>
        <v>大理白族自治州</v>
      </c>
      <c r="R2423" s="4">
        <f t="shared" si="117"/>
        <v>25</v>
      </c>
      <c r="S2423" s="4" t="str">
        <f t="shared" si="118"/>
        <v>云南省</v>
      </c>
    </row>
    <row r="2424" spans="14:19">
      <c r="N2424" s="4">
        <v>2423</v>
      </c>
      <c r="O2424" s="4" t="s">
        <v>3283</v>
      </c>
      <c r="P2424" s="4">
        <v>277</v>
      </c>
      <c r="Q2424" s="4" t="str">
        <f t="shared" si="119"/>
        <v>大理白族自治州</v>
      </c>
      <c r="R2424" s="4">
        <f t="shared" si="117"/>
        <v>25</v>
      </c>
      <c r="S2424" s="4" t="str">
        <f t="shared" si="118"/>
        <v>云南省</v>
      </c>
    </row>
    <row r="2425" spans="14:19">
      <c r="N2425" s="4">
        <v>2424</v>
      </c>
      <c r="O2425" s="4" t="s">
        <v>3284</v>
      </c>
      <c r="P2425" s="4">
        <v>277</v>
      </c>
      <c r="Q2425" s="4" t="str">
        <f t="shared" si="119"/>
        <v>大理白族自治州</v>
      </c>
      <c r="R2425" s="4">
        <f t="shared" si="117"/>
        <v>25</v>
      </c>
      <c r="S2425" s="4" t="str">
        <f t="shared" si="118"/>
        <v>云南省</v>
      </c>
    </row>
    <row r="2426" spans="14:19">
      <c r="N2426" s="4">
        <v>2425</v>
      </c>
      <c r="O2426" s="4" t="s">
        <v>3285</v>
      </c>
      <c r="P2426" s="4">
        <v>277</v>
      </c>
      <c r="Q2426" s="4" t="str">
        <f t="shared" si="119"/>
        <v>大理白族自治州</v>
      </c>
      <c r="R2426" s="4">
        <f t="shared" si="117"/>
        <v>25</v>
      </c>
      <c r="S2426" s="4" t="str">
        <f t="shared" si="118"/>
        <v>云南省</v>
      </c>
    </row>
    <row r="2427" spans="14:19">
      <c r="N2427" s="4">
        <v>2426</v>
      </c>
      <c r="O2427" s="4" t="s">
        <v>3286</v>
      </c>
      <c r="P2427" s="4">
        <v>278</v>
      </c>
      <c r="Q2427" s="4" t="str">
        <f t="shared" si="119"/>
        <v>德宏傣族景颇族自治州</v>
      </c>
      <c r="R2427" s="4">
        <f t="shared" si="117"/>
        <v>25</v>
      </c>
      <c r="S2427" s="4" t="str">
        <f t="shared" si="118"/>
        <v>云南省</v>
      </c>
    </row>
    <row r="2428" spans="14:19">
      <c r="N2428" s="4">
        <v>2427</v>
      </c>
      <c r="O2428" s="4" t="s">
        <v>3287</v>
      </c>
      <c r="P2428" s="4">
        <v>278</v>
      </c>
      <c r="Q2428" s="4" t="str">
        <f t="shared" si="119"/>
        <v>德宏傣族景颇族自治州</v>
      </c>
      <c r="R2428" s="4">
        <f t="shared" si="117"/>
        <v>25</v>
      </c>
      <c r="S2428" s="4" t="str">
        <f t="shared" si="118"/>
        <v>云南省</v>
      </c>
    </row>
    <row r="2429" spans="14:19">
      <c r="N2429" s="4">
        <v>2428</v>
      </c>
      <c r="O2429" s="4" t="s">
        <v>3288</v>
      </c>
      <c r="P2429" s="4">
        <v>278</v>
      </c>
      <c r="Q2429" s="4" t="str">
        <f t="shared" si="119"/>
        <v>德宏傣族景颇族自治州</v>
      </c>
      <c r="R2429" s="4">
        <f t="shared" si="117"/>
        <v>25</v>
      </c>
      <c r="S2429" s="4" t="str">
        <f t="shared" si="118"/>
        <v>云南省</v>
      </c>
    </row>
    <row r="2430" spans="14:19">
      <c r="N2430" s="4">
        <v>2429</v>
      </c>
      <c r="O2430" s="4" t="s">
        <v>3289</v>
      </c>
      <c r="P2430" s="4">
        <v>278</v>
      </c>
      <c r="Q2430" s="4" t="str">
        <f t="shared" si="119"/>
        <v>德宏傣族景颇族自治州</v>
      </c>
      <c r="R2430" s="4">
        <f t="shared" si="117"/>
        <v>25</v>
      </c>
      <c r="S2430" s="4" t="str">
        <f t="shared" si="118"/>
        <v>云南省</v>
      </c>
    </row>
    <row r="2431" spans="14:19">
      <c r="N2431" s="4">
        <v>2430</v>
      </c>
      <c r="O2431" s="4" t="s">
        <v>3290</v>
      </c>
      <c r="P2431" s="4">
        <v>278</v>
      </c>
      <c r="Q2431" s="4" t="str">
        <f t="shared" si="119"/>
        <v>德宏傣族景颇族自治州</v>
      </c>
      <c r="R2431" s="4">
        <f t="shared" si="117"/>
        <v>25</v>
      </c>
      <c r="S2431" s="4" t="str">
        <f t="shared" si="118"/>
        <v>云南省</v>
      </c>
    </row>
    <row r="2432" spans="14:19">
      <c r="N2432" s="4">
        <v>2431</v>
      </c>
      <c r="O2432" s="4" t="s">
        <v>3291</v>
      </c>
      <c r="P2432" s="4">
        <v>279</v>
      </c>
      <c r="Q2432" s="4" t="str">
        <f t="shared" si="119"/>
        <v>怒江傈僳族自治州</v>
      </c>
      <c r="R2432" s="4">
        <f t="shared" si="117"/>
        <v>25</v>
      </c>
      <c r="S2432" s="4" t="str">
        <f t="shared" si="118"/>
        <v>云南省</v>
      </c>
    </row>
    <row r="2433" spans="14:19">
      <c r="N2433" s="4">
        <v>2432</v>
      </c>
      <c r="O2433" s="4" t="s">
        <v>3292</v>
      </c>
      <c r="P2433" s="4">
        <v>279</v>
      </c>
      <c r="Q2433" s="4" t="str">
        <f t="shared" si="119"/>
        <v>怒江傈僳族自治州</v>
      </c>
      <c r="R2433" s="4">
        <f t="shared" si="117"/>
        <v>25</v>
      </c>
      <c r="S2433" s="4" t="str">
        <f t="shared" si="118"/>
        <v>云南省</v>
      </c>
    </row>
    <row r="2434" spans="14:19">
      <c r="N2434" s="4">
        <v>2433</v>
      </c>
      <c r="O2434" s="4" t="s">
        <v>3293</v>
      </c>
      <c r="P2434" s="4">
        <v>279</v>
      </c>
      <c r="Q2434" s="4" t="str">
        <f t="shared" si="119"/>
        <v>怒江傈僳族自治州</v>
      </c>
      <c r="R2434" s="4">
        <f t="shared" ref="R2434:R2497" si="120">VLOOKUP(P2434,$I$2:$M$346,3,FALSE)</f>
        <v>25</v>
      </c>
      <c r="S2434" s="4" t="str">
        <f t="shared" ref="S2434:S2497" si="121">VLOOKUP(P2434,$I$2:$M$346,4,FALSE)</f>
        <v>云南省</v>
      </c>
    </row>
    <row r="2435" spans="14:19">
      <c r="N2435" s="4">
        <v>2434</v>
      </c>
      <c r="O2435" s="4" t="s">
        <v>3294</v>
      </c>
      <c r="P2435" s="4">
        <v>279</v>
      </c>
      <c r="Q2435" s="4" t="str">
        <f t="shared" ref="Q2435:Q2498" si="122">VLOOKUP(P2435,$I$2:$J$346,2,FALSE)</f>
        <v>怒江傈僳族自治州</v>
      </c>
      <c r="R2435" s="4">
        <f t="shared" si="120"/>
        <v>25</v>
      </c>
      <c r="S2435" s="4" t="str">
        <f t="shared" si="121"/>
        <v>云南省</v>
      </c>
    </row>
    <row r="2436" spans="14:19">
      <c r="N2436" s="4">
        <v>2435</v>
      </c>
      <c r="O2436" s="4" t="s">
        <v>3295</v>
      </c>
      <c r="P2436" s="4">
        <v>280</v>
      </c>
      <c r="Q2436" s="4" t="str">
        <f t="shared" si="122"/>
        <v>迪庆藏族自治州</v>
      </c>
      <c r="R2436" s="4">
        <f t="shared" si="120"/>
        <v>25</v>
      </c>
      <c r="S2436" s="4" t="str">
        <f t="shared" si="121"/>
        <v>云南省</v>
      </c>
    </row>
    <row r="2437" spans="14:19">
      <c r="N2437" s="4">
        <v>2436</v>
      </c>
      <c r="O2437" s="4" t="s">
        <v>3296</v>
      </c>
      <c r="P2437" s="4">
        <v>280</v>
      </c>
      <c r="Q2437" s="4" t="str">
        <f t="shared" si="122"/>
        <v>迪庆藏族自治州</v>
      </c>
      <c r="R2437" s="4">
        <f t="shared" si="120"/>
        <v>25</v>
      </c>
      <c r="S2437" s="4" t="str">
        <f t="shared" si="121"/>
        <v>云南省</v>
      </c>
    </row>
    <row r="2438" spans="14:19">
      <c r="N2438" s="4">
        <v>2437</v>
      </c>
      <c r="O2438" s="4" t="s">
        <v>3297</v>
      </c>
      <c r="P2438" s="4">
        <v>280</v>
      </c>
      <c r="Q2438" s="4" t="str">
        <f t="shared" si="122"/>
        <v>迪庆藏族自治州</v>
      </c>
      <c r="R2438" s="4">
        <f t="shared" si="120"/>
        <v>25</v>
      </c>
      <c r="S2438" s="4" t="str">
        <f t="shared" si="121"/>
        <v>云南省</v>
      </c>
    </row>
    <row r="2439" spans="14:19">
      <c r="N2439" s="4">
        <v>2438</v>
      </c>
      <c r="O2439" s="4" t="s">
        <v>3298</v>
      </c>
      <c r="P2439" s="4">
        <v>281</v>
      </c>
      <c r="Q2439" s="4" t="str">
        <f t="shared" si="122"/>
        <v>拉萨市</v>
      </c>
      <c r="R2439" s="4">
        <f t="shared" si="120"/>
        <v>26</v>
      </c>
      <c r="S2439" s="4" t="str">
        <f t="shared" si="121"/>
        <v>西藏自治区</v>
      </c>
    </row>
    <row r="2440" spans="14:19">
      <c r="N2440" s="4">
        <v>2439</v>
      </c>
      <c r="O2440" s="4" t="s">
        <v>3299</v>
      </c>
      <c r="P2440" s="4">
        <v>281</v>
      </c>
      <c r="Q2440" s="4" t="str">
        <f t="shared" si="122"/>
        <v>拉萨市</v>
      </c>
      <c r="R2440" s="4">
        <f t="shared" si="120"/>
        <v>26</v>
      </c>
      <c r="S2440" s="4" t="str">
        <f t="shared" si="121"/>
        <v>西藏自治区</v>
      </c>
    </row>
    <row r="2441" spans="14:19">
      <c r="N2441" s="4">
        <v>2440</v>
      </c>
      <c r="O2441" s="4" t="s">
        <v>3300</v>
      </c>
      <c r="P2441" s="4">
        <v>281</v>
      </c>
      <c r="Q2441" s="4" t="str">
        <f t="shared" si="122"/>
        <v>拉萨市</v>
      </c>
      <c r="R2441" s="4">
        <f t="shared" si="120"/>
        <v>26</v>
      </c>
      <c r="S2441" s="4" t="str">
        <f t="shared" si="121"/>
        <v>西藏自治区</v>
      </c>
    </row>
    <row r="2442" spans="14:19">
      <c r="N2442" s="4">
        <v>2441</v>
      </c>
      <c r="O2442" s="4" t="s">
        <v>3301</v>
      </c>
      <c r="P2442" s="4">
        <v>281</v>
      </c>
      <c r="Q2442" s="4" t="str">
        <f t="shared" si="122"/>
        <v>拉萨市</v>
      </c>
      <c r="R2442" s="4">
        <f t="shared" si="120"/>
        <v>26</v>
      </c>
      <c r="S2442" s="4" t="str">
        <f t="shared" si="121"/>
        <v>西藏自治区</v>
      </c>
    </row>
    <row r="2443" spans="14:19">
      <c r="N2443" s="4">
        <v>2442</v>
      </c>
      <c r="O2443" s="4" t="s">
        <v>3302</v>
      </c>
      <c r="P2443" s="4">
        <v>281</v>
      </c>
      <c r="Q2443" s="4" t="str">
        <f t="shared" si="122"/>
        <v>拉萨市</v>
      </c>
      <c r="R2443" s="4">
        <f t="shared" si="120"/>
        <v>26</v>
      </c>
      <c r="S2443" s="4" t="str">
        <f t="shared" si="121"/>
        <v>西藏自治区</v>
      </c>
    </row>
    <row r="2444" spans="14:19">
      <c r="N2444" s="4">
        <v>2443</v>
      </c>
      <c r="O2444" s="4" t="s">
        <v>3303</v>
      </c>
      <c r="P2444" s="4">
        <v>281</v>
      </c>
      <c r="Q2444" s="4" t="str">
        <f t="shared" si="122"/>
        <v>拉萨市</v>
      </c>
      <c r="R2444" s="4">
        <f t="shared" si="120"/>
        <v>26</v>
      </c>
      <c r="S2444" s="4" t="str">
        <f t="shared" si="121"/>
        <v>西藏自治区</v>
      </c>
    </row>
    <row r="2445" spans="14:19">
      <c r="N2445" s="4">
        <v>2444</v>
      </c>
      <c r="O2445" s="4" t="s">
        <v>3304</v>
      </c>
      <c r="P2445" s="4">
        <v>281</v>
      </c>
      <c r="Q2445" s="4" t="str">
        <f t="shared" si="122"/>
        <v>拉萨市</v>
      </c>
      <c r="R2445" s="4">
        <f t="shared" si="120"/>
        <v>26</v>
      </c>
      <c r="S2445" s="4" t="str">
        <f t="shared" si="121"/>
        <v>西藏自治区</v>
      </c>
    </row>
    <row r="2446" spans="14:19">
      <c r="N2446" s="4">
        <v>2445</v>
      </c>
      <c r="O2446" s="4" t="s">
        <v>3305</v>
      </c>
      <c r="P2446" s="4">
        <v>281</v>
      </c>
      <c r="Q2446" s="4" t="str">
        <f t="shared" si="122"/>
        <v>拉萨市</v>
      </c>
      <c r="R2446" s="4">
        <f t="shared" si="120"/>
        <v>26</v>
      </c>
      <c r="S2446" s="4" t="str">
        <f t="shared" si="121"/>
        <v>西藏自治区</v>
      </c>
    </row>
    <row r="2447" spans="14:19">
      <c r="N2447" s="4">
        <v>2446</v>
      </c>
      <c r="O2447" s="4" t="s">
        <v>3306</v>
      </c>
      <c r="P2447" s="4">
        <v>282</v>
      </c>
      <c r="Q2447" s="4" t="str">
        <f t="shared" si="122"/>
        <v>昌都地区</v>
      </c>
      <c r="R2447" s="4">
        <f t="shared" si="120"/>
        <v>26</v>
      </c>
      <c r="S2447" s="4" t="str">
        <f t="shared" si="121"/>
        <v>西藏自治区</v>
      </c>
    </row>
    <row r="2448" spans="14:19">
      <c r="N2448" s="4">
        <v>2447</v>
      </c>
      <c r="O2448" s="4" t="s">
        <v>3307</v>
      </c>
      <c r="P2448" s="4">
        <v>282</v>
      </c>
      <c r="Q2448" s="4" t="str">
        <f t="shared" si="122"/>
        <v>昌都地区</v>
      </c>
      <c r="R2448" s="4">
        <f t="shared" si="120"/>
        <v>26</v>
      </c>
      <c r="S2448" s="4" t="str">
        <f t="shared" si="121"/>
        <v>西藏自治区</v>
      </c>
    </row>
    <row r="2449" spans="14:19">
      <c r="N2449" s="4">
        <v>2448</v>
      </c>
      <c r="O2449" s="4" t="s">
        <v>3308</v>
      </c>
      <c r="P2449" s="4">
        <v>282</v>
      </c>
      <c r="Q2449" s="4" t="str">
        <f t="shared" si="122"/>
        <v>昌都地区</v>
      </c>
      <c r="R2449" s="4">
        <f t="shared" si="120"/>
        <v>26</v>
      </c>
      <c r="S2449" s="4" t="str">
        <f t="shared" si="121"/>
        <v>西藏自治区</v>
      </c>
    </row>
    <row r="2450" spans="14:19">
      <c r="N2450" s="4">
        <v>2449</v>
      </c>
      <c r="O2450" s="4" t="s">
        <v>3309</v>
      </c>
      <c r="P2450" s="4">
        <v>282</v>
      </c>
      <c r="Q2450" s="4" t="str">
        <f t="shared" si="122"/>
        <v>昌都地区</v>
      </c>
      <c r="R2450" s="4">
        <f t="shared" si="120"/>
        <v>26</v>
      </c>
      <c r="S2450" s="4" t="str">
        <f t="shared" si="121"/>
        <v>西藏自治区</v>
      </c>
    </row>
    <row r="2451" spans="14:19">
      <c r="N2451" s="4">
        <v>2450</v>
      </c>
      <c r="O2451" s="4" t="s">
        <v>3310</v>
      </c>
      <c r="P2451" s="4">
        <v>282</v>
      </c>
      <c r="Q2451" s="4" t="str">
        <f t="shared" si="122"/>
        <v>昌都地区</v>
      </c>
      <c r="R2451" s="4">
        <f t="shared" si="120"/>
        <v>26</v>
      </c>
      <c r="S2451" s="4" t="str">
        <f t="shared" si="121"/>
        <v>西藏自治区</v>
      </c>
    </row>
    <row r="2452" spans="14:19">
      <c r="N2452" s="4">
        <v>2451</v>
      </c>
      <c r="O2452" s="4" t="s">
        <v>3311</v>
      </c>
      <c r="P2452" s="4">
        <v>282</v>
      </c>
      <c r="Q2452" s="4" t="str">
        <f t="shared" si="122"/>
        <v>昌都地区</v>
      </c>
      <c r="R2452" s="4">
        <f t="shared" si="120"/>
        <v>26</v>
      </c>
      <c r="S2452" s="4" t="str">
        <f t="shared" si="121"/>
        <v>西藏自治区</v>
      </c>
    </row>
    <row r="2453" spans="14:19">
      <c r="N2453" s="4">
        <v>2452</v>
      </c>
      <c r="O2453" s="4" t="s">
        <v>3312</v>
      </c>
      <c r="P2453" s="4">
        <v>282</v>
      </c>
      <c r="Q2453" s="4" t="str">
        <f t="shared" si="122"/>
        <v>昌都地区</v>
      </c>
      <c r="R2453" s="4">
        <f t="shared" si="120"/>
        <v>26</v>
      </c>
      <c r="S2453" s="4" t="str">
        <f t="shared" si="121"/>
        <v>西藏自治区</v>
      </c>
    </row>
    <row r="2454" spans="14:19">
      <c r="N2454" s="4">
        <v>2453</v>
      </c>
      <c r="O2454" s="4" t="s">
        <v>3313</v>
      </c>
      <c r="P2454" s="4">
        <v>282</v>
      </c>
      <c r="Q2454" s="4" t="str">
        <f t="shared" si="122"/>
        <v>昌都地区</v>
      </c>
      <c r="R2454" s="4">
        <f t="shared" si="120"/>
        <v>26</v>
      </c>
      <c r="S2454" s="4" t="str">
        <f t="shared" si="121"/>
        <v>西藏自治区</v>
      </c>
    </row>
    <row r="2455" spans="14:19">
      <c r="N2455" s="4">
        <v>2454</v>
      </c>
      <c r="O2455" s="4" t="s">
        <v>3314</v>
      </c>
      <c r="P2455" s="4">
        <v>282</v>
      </c>
      <c r="Q2455" s="4" t="str">
        <f t="shared" si="122"/>
        <v>昌都地区</v>
      </c>
      <c r="R2455" s="4">
        <f t="shared" si="120"/>
        <v>26</v>
      </c>
      <c r="S2455" s="4" t="str">
        <f t="shared" si="121"/>
        <v>西藏自治区</v>
      </c>
    </row>
    <row r="2456" spans="14:19">
      <c r="N2456" s="4">
        <v>2455</v>
      </c>
      <c r="O2456" s="4" t="s">
        <v>3315</v>
      </c>
      <c r="P2456" s="4">
        <v>282</v>
      </c>
      <c r="Q2456" s="4" t="str">
        <f t="shared" si="122"/>
        <v>昌都地区</v>
      </c>
      <c r="R2456" s="4">
        <f t="shared" si="120"/>
        <v>26</v>
      </c>
      <c r="S2456" s="4" t="str">
        <f t="shared" si="121"/>
        <v>西藏自治区</v>
      </c>
    </row>
    <row r="2457" spans="14:19">
      <c r="N2457" s="4">
        <v>2456</v>
      </c>
      <c r="O2457" s="4" t="s">
        <v>3316</v>
      </c>
      <c r="P2457" s="4">
        <v>282</v>
      </c>
      <c r="Q2457" s="4" t="str">
        <f t="shared" si="122"/>
        <v>昌都地区</v>
      </c>
      <c r="R2457" s="4">
        <f t="shared" si="120"/>
        <v>26</v>
      </c>
      <c r="S2457" s="4" t="str">
        <f t="shared" si="121"/>
        <v>西藏自治区</v>
      </c>
    </row>
    <row r="2458" spans="14:19">
      <c r="N2458" s="4">
        <v>2457</v>
      </c>
      <c r="O2458" s="4" t="s">
        <v>3317</v>
      </c>
      <c r="P2458" s="4">
        <v>283</v>
      </c>
      <c r="Q2458" s="4" t="str">
        <f t="shared" si="122"/>
        <v>山南地区</v>
      </c>
      <c r="R2458" s="4">
        <f t="shared" si="120"/>
        <v>26</v>
      </c>
      <c r="S2458" s="4" t="str">
        <f t="shared" si="121"/>
        <v>西藏自治区</v>
      </c>
    </row>
    <row r="2459" spans="14:19">
      <c r="N2459" s="4">
        <v>2458</v>
      </c>
      <c r="O2459" s="4" t="s">
        <v>3318</v>
      </c>
      <c r="P2459" s="4">
        <v>283</v>
      </c>
      <c r="Q2459" s="4" t="str">
        <f t="shared" si="122"/>
        <v>山南地区</v>
      </c>
      <c r="R2459" s="4">
        <f t="shared" si="120"/>
        <v>26</v>
      </c>
      <c r="S2459" s="4" t="str">
        <f t="shared" si="121"/>
        <v>西藏自治区</v>
      </c>
    </row>
    <row r="2460" spans="14:19">
      <c r="N2460" s="4">
        <v>2459</v>
      </c>
      <c r="O2460" s="4" t="s">
        <v>3319</v>
      </c>
      <c r="P2460" s="4">
        <v>283</v>
      </c>
      <c r="Q2460" s="4" t="str">
        <f t="shared" si="122"/>
        <v>山南地区</v>
      </c>
      <c r="R2460" s="4">
        <f t="shared" si="120"/>
        <v>26</v>
      </c>
      <c r="S2460" s="4" t="str">
        <f t="shared" si="121"/>
        <v>西藏自治区</v>
      </c>
    </row>
    <row r="2461" spans="14:19">
      <c r="N2461" s="4">
        <v>2460</v>
      </c>
      <c r="O2461" s="4" t="s">
        <v>3320</v>
      </c>
      <c r="P2461" s="4">
        <v>283</v>
      </c>
      <c r="Q2461" s="4" t="str">
        <f t="shared" si="122"/>
        <v>山南地区</v>
      </c>
      <c r="R2461" s="4">
        <f t="shared" si="120"/>
        <v>26</v>
      </c>
      <c r="S2461" s="4" t="str">
        <f t="shared" si="121"/>
        <v>西藏自治区</v>
      </c>
    </row>
    <row r="2462" spans="14:19">
      <c r="N2462" s="4">
        <v>2461</v>
      </c>
      <c r="O2462" s="4" t="s">
        <v>3321</v>
      </c>
      <c r="P2462" s="4">
        <v>283</v>
      </c>
      <c r="Q2462" s="4" t="str">
        <f t="shared" si="122"/>
        <v>山南地区</v>
      </c>
      <c r="R2462" s="4">
        <f t="shared" si="120"/>
        <v>26</v>
      </c>
      <c r="S2462" s="4" t="str">
        <f t="shared" si="121"/>
        <v>西藏自治区</v>
      </c>
    </row>
    <row r="2463" spans="14:19">
      <c r="N2463" s="4">
        <v>2462</v>
      </c>
      <c r="O2463" s="4" t="s">
        <v>3322</v>
      </c>
      <c r="P2463" s="4">
        <v>283</v>
      </c>
      <c r="Q2463" s="4" t="str">
        <f t="shared" si="122"/>
        <v>山南地区</v>
      </c>
      <c r="R2463" s="4">
        <f t="shared" si="120"/>
        <v>26</v>
      </c>
      <c r="S2463" s="4" t="str">
        <f t="shared" si="121"/>
        <v>西藏自治区</v>
      </c>
    </row>
    <row r="2464" spans="14:19">
      <c r="N2464" s="4">
        <v>2463</v>
      </c>
      <c r="O2464" s="4" t="s">
        <v>3323</v>
      </c>
      <c r="P2464" s="4">
        <v>283</v>
      </c>
      <c r="Q2464" s="4" t="str">
        <f t="shared" si="122"/>
        <v>山南地区</v>
      </c>
      <c r="R2464" s="4">
        <f t="shared" si="120"/>
        <v>26</v>
      </c>
      <c r="S2464" s="4" t="str">
        <f t="shared" si="121"/>
        <v>西藏自治区</v>
      </c>
    </row>
    <row r="2465" spans="14:19">
      <c r="N2465" s="4">
        <v>2464</v>
      </c>
      <c r="O2465" s="4" t="s">
        <v>3324</v>
      </c>
      <c r="P2465" s="4">
        <v>283</v>
      </c>
      <c r="Q2465" s="4" t="str">
        <f t="shared" si="122"/>
        <v>山南地区</v>
      </c>
      <c r="R2465" s="4">
        <f t="shared" si="120"/>
        <v>26</v>
      </c>
      <c r="S2465" s="4" t="str">
        <f t="shared" si="121"/>
        <v>西藏自治区</v>
      </c>
    </row>
    <row r="2466" spans="14:19">
      <c r="N2466" s="4">
        <v>2465</v>
      </c>
      <c r="O2466" s="4" t="s">
        <v>3325</v>
      </c>
      <c r="P2466" s="4">
        <v>283</v>
      </c>
      <c r="Q2466" s="4" t="str">
        <f t="shared" si="122"/>
        <v>山南地区</v>
      </c>
      <c r="R2466" s="4">
        <f t="shared" si="120"/>
        <v>26</v>
      </c>
      <c r="S2466" s="4" t="str">
        <f t="shared" si="121"/>
        <v>西藏自治区</v>
      </c>
    </row>
    <row r="2467" spans="14:19">
      <c r="N2467" s="4">
        <v>2466</v>
      </c>
      <c r="O2467" s="4" t="s">
        <v>3326</v>
      </c>
      <c r="P2467" s="4">
        <v>283</v>
      </c>
      <c r="Q2467" s="4" t="str">
        <f t="shared" si="122"/>
        <v>山南地区</v>
      </c>
      <c r="R2467" s="4">
        <f t="shared" si="120"/>
        <v>26</v>
      </c>
      <c r="S2467" s="4" t="str">
        <f t="shared" si="121"/>
        <v>西藏自治区</v>
      </c>
    </row>
    <row r="2468" spans="14:19">
      <c r="N2468" s="4">
        <v>2467</v>
      </c>
      <c r="O2468" s="4" t="s">
        <v>3327</v>
      </c>
      <c r="P2468" s="4">
        <v>283</v>
      </c>
      <c r="Q2468" s="4" t="str">
        <f t="shared" si="122"/>
        <v>山南地区</v>
      </c>
      <c r="R2468" s="4">
        <f t="shared" si="120"/>
        <v>26</v>
      </c>
      <c r="S2468" s="4" t="str">
        <f t="shared" si="121"/>
        <v>西藏自治区</v>
      </c>
    </row>
    <row r="2469" spans="14:19">
      <c r="N2469" s="4">
        <v>2468</v>
      </c>
      <c r="O2469" s="4" t="s">
        <v>3328</v>
      </c>
      <c r="P2469" s="4">
        <v>283</v>
      </c>
      <c r="Q2469" s="4" t="str">
        <f t="shared" si="122"/>
        <v>山南地区</v>
      </c>
      <c r="R2469" s="4">
        <f t="shared" si="120"/>
        <v>26</v>
      </c>
      <c r="S2469" s="4" t="str">
        <f t="shared" si="121"/>
        <v>西藏自治区</v>
      </c>
    </row>
    <row r="2470" spans="14:19">
      <c r="N2470" s="4">
        <v>2469</v>
      </c>
      <c r="O2470" s="4" t="s">
        <v>3329</v>
      </c>
      <c r="P2470" s="4">
        <v>284</v>
      </c>
      <c r="Q2470" s="4" t="str">
        <f t="shared" si="122"/>
        <v>日喀则地区</v>
      </c>
      <c r="R2470" s="4">
        <f t="shared" si="120"/>
        <v>26</v>
      </c>
      <c r="S2470" s="4" t="str">
        <f t="shared" si="121"/>
        <v>西藏自治区</v>
      </c>
    </row>
    <row r="2471" spans="14:19">
      <c r="N2471" s="4">
        <v>2470</v>
      </c>
      <c r="O2471" s="4" t="s">
        <v>3330</v>
      </c>
      <c r="P2471" s="4">
        <v>284</v>
      </c>
      <c r="Q2471" s="4" t="str">
        <f t="shared" si="122"/>
        <v>日喀则地区</v>
      </c>
      <c r="R2471" s="4">
        <f t="shared" si="120"/>
        <v>26</v>
      </c>
      <c r="S2471" s="4" t="str">
        <f t="shared" si="121"/>
        <v>西藏自治区</v>
      </c>
    </row>
    <row r="2472" spans="14:19">
      <c r="N2472" s="4">
        <v>2471</v>
      </c>
      <c r="O2472" s="4" t="s">
        <v>3331</v>
      </c>
      <c r="P2472" s="4">
        <v>284</v>
      </c>
      <c r="Q2472" s="4" t="str">
        <f t="shared" si="122"/>
        <v>日喀则地区</v>
      </c>
      <c r="R2472" s="4">
        <f t="shared" si="120"/>
        <v>26</v>
      </c>
      <c r="S2472" s="4" t="str">
        <f t="shared" si="121"/>
        <v>西藏自治区</v>
      </c>
    </row>
    <row r="2473" spans="14:19">
      <c r="N2473" s="4">
        <v>2472</v>
      </c>
      <c r="O2473" s="4" t="s">
        <v>3332</v>
      </c>
      <c r="P2473" s="4">
        <v>284</v>
      </c>
      <c r="Q2473" s="4" t="str">
        <f t="shared" si="122"/>
        <v>日喀则地区</v>
      </c>
      <c r="R2473" s="4">
        <f t="shared" si="120"/>
        <v>26</v>
      </c>
      <c r="S2473" s="4" t="str">
        <f t="shared" si="121"/>
        <v>西藏自治区</v>
      </c>
    </row>
    <row r="2474" spans="14:19">
      <c r="N2474" s="4">
        <v>2473</v>
      </c>
      <c r="O2474" s="4" t="s">
        <v>3333</v>
      </c>
      <c r="P2474" s="4">
        <v>284</v>
      </c>
      <c r="Q2474" s="4" t="str">
        <f t="shared" si="122"/>
        <v>日喀则地区</v>
      </c>
      <c r="R2474" s="4">
        <f t="shared" si="120"/>
        <v>26</v>
      </c>
      <c r="S2474" s="4" t="str">
        <f t="shared" si="121"/>
        <v>西藏自治区</v>
      </c>
    </row>
    <row r="2475" spans="14:19">
      <c r="N2475" s="4">
        <v>2474</v>
      </c>
      <c r="O2475" s="4" t="s">
        <v>3334</v>
      </c>
      <c r="P2475" s="4">
        <v>284</v>
      </c>
      <c r="Q2475" s="4" t="str">
        <f t="shared" si="122"/>
        <v>日喀则地区</v>
      </c>
      <c r="R2475" s="4">
        <f t="shared" si="120"/>
        <v>26</v>
      </c>
      <c r="S2475" s="4" t="str">
        <f t="shared" si="121"/>
        <v>西藏自治区</v>
      </c>
    </row>
    <row r="2476" spans="14:19">
      <c r="N2476" s="4">
        <v>2475</v>
      </c>
      <c r="O2476" s="4" t="s">
        <v>3335</v>
      </c>
      <c r="P2476" s="4">
        <v>284</v>
      </c>
      <c r="Q2476" s="4" t="str">
        <f t="shared" si="122"/>
        <v>日喀则地区</v>
      </c>
      <c r="R2476" s="4">
        <f t="shared" si="120"/>
        <v>26</v>
      </c>
      <c r="S2476" s="4" t="str">
        <f t="shared" si="121"/>
        <v>西藏自治区</v>
      </c>
    </row>
    <row r="2477" spans="14:19">
      <c r="N2477" s="4">
        <v>2476</v>
      </c>
      <c r="O2477" s="4" t="s">
        <v>3336</v>
      </c>
      <c r="P2477" s="4">
        <v>284</v>
      </c>
      <c r="Q2477" s="4" t="str">
        <f t="shared" si="122"/>
        <v>日喀则地区</v>
      </c>
      <c r="R2477" s="4">
        <f t="shared" si="120"/>
        <v>26</v>
      </c>
      <c r="S2477" s="4" t="str">
        <f t="shared" si="121"/>
        <v>西藏自治区</v>
      </c>
    </row>
    <row r="2478" spans="14:19">
      <c r="N2478" s="4">
        <v>2477</v>
      </c>
      <c r="O2478" s="4" t="s">
        <v>3337</v>
      </c>
      <c r="P2478" s="4">
        <v>284</v>
      </c>
      <c r="Q2478" s="4" t="str">
        <f t="shared" si="122"/>
        <v>日喀则地区</v>
      </c>
      <c r="R2478" s="4">
        <f t="shared" si="120"/>
        <v>26</v>
      </c>
      <c r="S2478" s="4" t="str">
        <f t="shared" si="121"/>
        <v>西藏自治区</v>
      </c>
    </row>
    <row r="2479" spans="14:19">
      <c r="N2479" s="4">
        <v>2478</v>
      </c>
      <c r="O2479" s="4" t="s">
        <v>3338</v>
      </c>
      <c r="P2479" s="4">
        <v>284</v>
      </c>
      <c r="Q2479" s="4" t="str">
        <f t="shared" si="122"/>
        <v>日喀则地区</v>
      </c>
      <c r="R2479" s="4">
        <f t="shared" si="120"/>
        <v>26</v>
      </c>
      <c r="S2479" s="4" t="str">
        <f t="shared" si="121"/>
        <v>西藏自治区</v>
      </c>
    </row>
    <row r="2480" spans="14:19">
      <c r="N2480" s="4">
        <v>2479</v>
      </c>
      <c r="O2480" s="4" t="s">
        <v>3339</v>
      </c>
      <c r="P2480" s="4">
        <v>284</v>
      </c>
      <c r="Q2480" s="4" t="str">
        <f t="shared" si="122"/>
        <v>日喀则地区</v>
      </c>
      <c r="R2480" s="4">
        <f t="shared" si="120"/>
        <v>26</v>
      </c>
      <c r="S2480" s="4" t="str">
        <f t="shared" si="121"/>
        <v>西藏自治区</v>
      </c>
    </row>
    <row r="2481" spans="14:19">
      <c r="N2481" s="4">
        <v>2480</v>
      </c>
      <c r="O2481" s="4" t="s">
        <v>3340</v>
      </c>
      <c r="P2481" s="4">
        <v>284</v>
      </c>
      <c r="Q2481" s="4" t="str">
        <f t="shared" si="122"/>
        <v>日喀则地区</v>
      </c>
      <c r="R2481" s="4">
        <f t="shared" si="120"/>
        <v>26</v>
      </c>
      <c r="S2481" s="4" t="str">
        <f t="shared" si="121"/>
        <v>西藏自治区</v>
      </c>
    </row>
    <row r="2482" spans="14:19">
      <c r="N2482" s="4">
        <v>2481</v>
      </c>
      <c r="O2482" s="4" t="s">
        <v>3341</v>
      </c>
      <c r="P2482" s="4">
        <v>284</v>
      </c>
      <c r="Q2482" s="4" t="str">
        <f t="shared" si="122"/>
        <v>日喀则地区</v>
      </c>
      <c r="R2482" s="4">
        <f t="shared" si="120"/>
        <v>26</v>
      </c>
      <c r="S2482" s="4" t="str">
        <f t="shared" si="121"/>
        <v>西藏自治区</v>
      </c>
    </row>
    <row r="2483" spans="14:19">
      <c r="N2483" s="4">
        <v>2482</v>
      </c>
      <c r="O2483" s="4" t="s">
        <v>3342</v>
      </c>
      <c r="P2483" s="4">
        <v>284</v>
      </c>
      <c r="Q2483" s="4" t="str">
        <f t="shared" si="122"/>
        <v>日喀则地区</v>
      </c>
      <c r="R2483" s="4">
        <f t="shared" si="120"/>
        <v>26</v>
      </c>
      <c r="S2483" s="4" t="str">
        <f t="shared" si="121"/>
        <v>西藏自治区</v>
      </c>
    </row>
    <row r="2484" spans="14:19">
      <c r="N2484" s="4">
        <v>2483</v>
      </c>
      <c r="O2484" s="4" t="s">
        <v>3343</v>
      </c>
      <c r="P2484" s="4">
        <v>284</v>
      </c>
      <c r="Q2484" s="4" t="str">
        <f t="shared" si="122"/>
        <v>日喀则地区</v>
      </c>
      <c r="R2484" s="4">
        <f t="shared" si="120"/>
        <v>26</v>
      </c>
      <c r="S2484" s="4" t="str">
        <f t="shared" si="121"/>
        <v>西藏自治区</v>
      </c>
    </row>
    <row r="2485" spans="14:19">
      <c r="N2485" s="4">
        <v>2484</v>
      </c>
      <c r="O2485" s="4" t="s">
        <v>3344</v>
      </c>
      <c r="P2485" s="4">
        <v>284</v>
      </c>
      <c r="Q2485" s="4" t="str">
        <f t="shared" si="122"/>
        <v>日喀则地区</v>
      </c>
      <c r="R2485" s="4">
        <f t="shared" si="120"/>
        <v>26</v>
      </c>
      <c r="S2485" s="4" t="str">
        <f t="shared" si="121"/>
        <v>西藏自治区</v>
      </c>
    </row>
    <row r="2486" spans="14:19">
      <c r="N2486" s="4">
        <v>2485</v>
      </c>
      <c r="O2486" s="4" t="s">
        <v>3345</v>
      </c>
      <c r="P2486" s="4">
        <v>284</v>
      </c>
      <c r="Q2486" s="4" t="str">
        <f t="shared" si="122"/>
        <v>日喀则地区</v>
      </c>
      <c r="R2486" s="4">
        <f t="shared" si="120"/>
        <v>26</v>
      </c>
      <c r="S2486" s="4" t="str">
        <f t="shared" si="121"/>
        <v>西藏自治区</v>
      </c>
    </row>
    <row r="2487" spans="14:19">
      <c r="N2487" s="4">
        <v>2486</v>
      </c>
      <c r="O2487" s="4" t="s">
        <v>3346</v>
      </c>
      <c r="P2487" s="4">
        <v>284</v>
      </c>
      <c r="Q2487" s="4" t="str">
        <f t="shared" si="122"/>
        <v>日喀则地区</v>
      </c>
      <c r="R2487" s="4">
        <f t="shared" si="120"/>
        <v>26</v>
      </c>
      <c r="S2487" s="4" t="str">
        <f t="shared" si="121"/>
        <v>西藏自治区</v>
      </c>
    </row>
    <row r="2488" spans="14:19">
      <c r="N2488" s="4">
        <v>2487</v>
      </c>
      <c r="O2488" s="4" t="s">
        <v>3347</v>
      </c>
      <c r="P2488" s="4">
        <v>285</v>
      </c>
      <c r="Q2488" s="4" t="str">
        <f t="shared" si="122"/>
        <v>那曲地区</v>
      </c>
      <c r="R2488" s="4">
        <f t="shared" si="120"/>
        <v>26</v>
      </c>
      <c r="S2488" s="4" t="str">
        <f t="shared" si="121"/>
        <v>西藏自治区</v>
      </c>
    </row>
    <row r="2489" spans="14:19">
      <c r="N2489" s="4">
        <v>2488</v>
      </c>
      <c r="O2489" s="4" t="s">
        <v>3348</v>
      </c>
      <c r="P2489" s="4">
        <v>285</v>
      </c>
      <c r="Q2489" s="4" t="str">
        <f t="shared" si="122"/>
        <v>那曲地区</v>
      </c>
      <c r="R2489" s="4">
        <f t="shared" si="120"/>
        <v>26</v>
      </c>
      <c r="S2489" s="4" t="str">
        <f t="shared" si="121"/>
        <v>西藏自治区</v>
      </c>
    </row>
    <row r="2490" spans="14:19">
      <c r="N2490" s="4">
        <v>2489</v>
      </c>
      <c r="O2490" s="4" t="s">
        <v>3349</v>
      </c>
      <c r="P2490" s="4">
        <v>285</v>
      </c>
      <c r="Q2490" s="4" t="str">
        <f t="shared" si="122"/>
        <v>那曲地区</v>
      </c>
      <c r="R2490" s="4">
        <f t="shared" si="120"/>
        <v>26</v>
      </c>
      <c r="S2490" s="4" t="str">
        <f t="shared" si="121"/>
        <v>西藏自治区</v>
      </c>
    </row>
    <row r="2491" spans="14:19">
      <c r="N2491" s="4">
        <v>2490</v>
      </c>
      <c r="O2491" s="4" t="s">
        <v>3350</v>
      </c>
      <c r="P2491" s="4">
        <v>285</v>
      </c>
      <c r="Q2491" s="4" t="str">
        <f t="shared" si="122"/>
        <v>那曲地区</v>
      </c>
      <c r="R2491" s="4">
        <f t="shared" si="120"/>
        <v>26</v>
      </c>
      <c r="S2491" s="4" t="str">
        <f t="shared" si="121"/>
        <v>西藏自治区</v>
      </c>
    </row>
    <row r="2492" spans="14:19">
      <c r="N2492" s="4">
        <v>2491</v>
      </c>
      <c r="O2492" s="4" t="s">
        <v>3351</v>
      </c>
      <c r="P2492" s="4">
        <v>285</v>
      </c>
      <c r="Q2492" s="4" t="str">
        <f t="shared" si="122"/>
        <v>那曲地区</v>
      </c>
      <c r="R2492" s="4">
        <f t="shared" si="120"/>
        <v>26</v>
      </c>
      <c r="S2492" s="4" t="str">
        <f t="shared" si="121"/>
        <v>西藏自治区</v>
      </c>
    </row>
    <row r="2493" spans="14:19">
      <c r="N2493" s="4">
        <v>2492</v>
      </c>
      <c r="O2493" s="4" t="s">
        <v>3352</v>
      </c>
      <c r="P2493" s="4">
        <v>285</v>
      </c>
      <c r="Q2493" s="4" t="str">
        <f t="shared" si="122"/>
        <v>那曲地区</v>
      </c>
      <c r="R2493" s="4">
        <f t="shared" si="120"/>
        <v>26</v>
      </c>
      <c r="S2493" s="4" t="str">
        <f t="shared" si="121"/>
        <v>西藏自治区</v>
      </c>
    </row>
    <row r="2494" spans="14:19">
      <c r="N2494" s="4">
        <v>2493</v>
      </c>
      <c r="O2494" s="4" t="s">
        <v>3353</v>
      </c>
      <c r="P2494" s="4">
        <v>285</v>
      </c>
      <c r="Q2494" s="4" t="str">
        <f t="shared" si="122"/>
        <v>那曲地区</v>
      </c>
      <c r="R2494" s="4">
        <f t="shared" si="120"/>
        <v>26</v>
      </c>
      <c r="S2494" s="4" t="str">
        <f t="shared" si="121"/>
        <v>西藏自治区</v>
      </c>
    </row>
    <row r="2495" spans="14:19">
      <c r="N2495" s="4">
        <v>2494</v>
      </c>
      <c r="O2495" s="4" t="s">
        <v>3354</v>
      </c>
      <c r="P2495" s="4">
        <v>285</v>
      </c>
      <c r="Q2495" s="4" t="str">
        <f t="shared" si="122"/>
        <v>那曲地区</v>
      </c>
      <c r="R2495" s="4">
        <f t="shared" si="120"/>
        <v>26</v>
      </c>
      <c r="S2495" s="4" t="str">
        <f t="shared" si="121"/>
        <v>西藏自治区</v>
      </c>
    </row>
    <row r="2496" spans="14:19">
      <c r="N2496" s="4">
        <v>2495</v>
      </c>
      <c r="O2496" s="4" t="s">
        <v>3355</v>
      </c>
      <c r="P2496" s="4">
        <v>285</v>
      </c>
      <c r="Q2496" s="4" t="str">
        <f t="shared" si="122"/>
        <v>那曲地区</v>
      </c>
      <c r="R2496" s="4">
        <f t="shared" si="120"/>
        <v>26</v>
      </c>
      <c r="S2496" s="4" t="str">
        <f t="shared" si="121"/>
        <v>西藏自治区</v>
      </c>
    </row>
    <row r="2497" spans="14:19">
      <c r="N2497" s="4">
        <v>2496</v>
      </c>
      <c r="O2497" s="4" t="s">
        <v>3356</v>
      </c>
      <c r="P2497" s="4">
        <v>285</v>
      </c>
      <c r="Q2497" s="4" t="str">
        <f t="shared" si="122"/>
        <v>那曲地区</v>
      </c>
      <c r="R2497" s="4">
        <f t="shared" si="120"/>
        <v>26</v>
      </c>
      <c r="S2497" s="4" t="str">
        <f t="shared" si="121"/>
        <v>西藏自治区</v>
      </c>
    </row>
    <row r="2498" spans="14:19">
      <c r="N2498" s="4">
        <v>2497</v>
      </c>
      <c r="O2498" s="4" t="s">
        <v>3357</v>
      </c>
      <c r="P2498" s="4">
        <v>286</v>
      </c>
      <c r="Q2498" s="4" t="str">
        <f t="shared" si="122"/>
        <v>阿里地区</v>
      </c>
      <c r="R2498" s="4">
        <f t="shared" ref="R2498:R2561" si="123">VLOOKUP(P2498,$I$2:$M$346,3,FALSE)</f>
        <v>26</v>
      </c>
      <c r="S2498" s="4" t="str">
        <f t="shared" ref="S2498:S2561" si="124">VLOOKUP(P2498,$I$2:$M$346,4,FALSE)</f>
        <v>西藏自治区</v>
      </c>
    </row>
    <row r="2499" spans="14:19">
      <c r="N2499" s="4">
        <v>2498</v>
      </c>
      <c r="O2499" s="4" t="s">
        <v>3358</v>
      </c>
      <c r="P2499" s="4">
        <v>286</v>
      </c>
      <c r="Q2499" s="4" t="str">
        <f t="shared" ref="Q2499:Q2562" si="125">VLOOKUP(P2499,$I$2:$J$346,2,FALSE)</f>
        <v>阿里地区</v>
      </c>
      <c r="R2499" s="4">
        <f t="shared" si="123"/>
        <v>26</v>
      </c>
      <c r="S2499" s="4" t="str">
        <f t="shared" si="124"/>
        <v>西藏自治区</v>
      </c>
    </row>
    <row r="2500" spans="14:19">
      <c r="N2500" s="4">
        <v>2499</v>
      </c>
      <c r="O2500" s="4" t="s">
        <v>3359</v>
      </c>
      <c r="P2500" s="4">
        <v>286</v>
      </c>
      <c r="Q2500" s="4" t="str">
        <f t="shared" si="125"/>
        <v>阿里地区</v>
      </c>
      <c r="R2500" s="4">
        <f t="shared" si="123"/>
        <v>26</v>
      </c>
      <c r="S2500" s="4" t="str">
        <f t="shared" si="124"/>
        <v>西藏自治区</v>
      </c>
    </row>
    <row r="2501" spans="14:19">
      <c r="N2501" s="4">
        <v>2500</v>
      </c>
      <c r="O2501" s="4" t="s">
        <v>3360</v>
      </c>
      <c r="P2501" s="4">
        <v>286</v>
      </c>
      <c r="Q2501" s="4" t="str">
        <f t="shared" si="125"/>
        <v>阿里地区</v>
      </c>
      <c r="R2501" s="4">
        <f t="shared" si="123"/>
        <v>26</v>
      </c>
      <c r="S2501" s="4" t="str">
        <f t="shared" si="124"/>
        <v>西藏自治区</v>
      </c>
    </row>
    <row r="2502" spans="14:19">
      <c r="N2502" s="4">
        <v>2501</v>
      </c>
      <c r="O2502" s="4" t="s">
        <v>3361</v>
      </c>
      <c r="P2502" s="4">
        <v>286</v>
      </c>
      <c r="Q2502" s="4" t="str">
        <f t="shared" si="125"/>
        <v>阿里地区</v>
      </c>
      <c r="R2502" s="4">
        <f t="shared" si="123"/>
        <v>26</v>
      </c>
      <c r="S2502" s="4" t="str">
        <f t="shared" si="124"/>
        <v>西藏自治区</v>
      </c>
    </row>
    <row r="2503" spans="14:19">
      <c r="N2503" s="4">
        <v>2502</v>
      </c>
      <c r="O2503" s="4" t="s">
        <v>3362</v>
      </c>
      <c r="P2503" s="4">
        <v>286</v>
      </c>
      <c r="Q2503" s="4" t="str">
        <f t="shared" si="125"/>
        <v>阿里地区</v>
      </c>
      <c r="R2503" s="4">
        <f t="shared" si="123"/>
        <v>26</v>
      </c>
      <c r="S2503" s="4" t="str">
        <f t="shared" si="124"/>
        <v>西藏自治区</v>
      </c>
    </row>
    <row r="2504" spans="14:19">
      <c r="N2504" s="4">
        <v>2503</v>
      </c>
      <c r="O2504" s="4" t="s">
        <v>3363</v>
      </c>
      <c r="P2504" s="4">
        <v>286</v>
      </c>
      <c r="Q2504" s="4" t="str">
        <f t="shared" si="125"/>
        <v>阿里地区</v>
      </c>
      <c r="R2504" s="4">
        <f t="shared" si="123"/>
        <v>26</v>
      </c>
      <c r="S2504" s="4" t="str">
        <f t="shared" si="124"/>
        <v>西藏自治区</v>
      </c>
    </row>
    <row r="2505" spans="14:19">
      <c r="N2505" s="4">
        <v>2504</v>
      </c>
      <c r="O2505" s="4" t="s">
        <v>3364</v>
      </c>
      <c r="P2505" s="4">
        <v>287</v>
      </c>
      <c r="Q2505" s="4" t="str">
        <f t="shared" si="125"/>
        <v>林芝地区</v>
      </c>
      <c r="R2505" s="4">
        <f t="shared" si="123"/>
        <v>26</v>
      </c>
      <c r="S2505" s="4" t="str">
        <f t="shared" si="124"/>
        <v>西藏自治区</v>
      </c>
    </row>
    <row r="2506" spans="14:19">
      <c r="N2506" s="4">
        <v>2505</v>
      </c>
      <c r="O2506" s="4" t="s">
        <v>3365</v>
      </c>
      <c r="P2506" s="4">
        <v>287</v>
      </c>
      <c r="Q2506" s="4" t="str">
        <f t="shared" si="125"/>
        <v>林芝地区</v>
      </c>
      <c r="R2506" s="4">
        <f t="shared" si="123"/>
        <v>26</v>
      </c>
      <c r="S2506" s="4" t="str">
        <f t="shared" si="124"/>
        <v>西藏自治区</v>
      </c>
    </row>
    <row r="2507" spans="14:19">
      <c r="N2507" s="4">
        <v>2506</v>
      </c>
      <c r="O2507" s="4" t="s">
        <v>3366</v>
      </c>
      <c r="P2507" s="4">
        <v>287</v>
      </c>
      <c r="Q2507" s="4" t="str">
        <f t="shared" si="125"/>
        <v>林芝地区</v>
      </c>
      <c r="R2507" s="4">
        <f t="shared" si="123"/>
        <v>26</v>
      </c>
      <c r="S2507" s="4" t="str">
        <f t="shared" si="124"/>
        <v>西藏自治区</v>
      </c>
    </row>
    <row r="2508" spans="14:19">
      <c r="N2508" s="4">
        <v>2507</v>
      </c>
      <c r="O2508" s="4" t="s">
        <v>3367</v>
      </c>
      <c r="P2508" s="4">
        <v>287</v>
      </c>
      <c r="Q2508" s="4" t="str">
        <f t="shared" si="125"/>
        <v>林芝地区</v>
      </c>
      <c r="R2508" s="4">
        <f t="shared" si="123"/>
        <v>26</v>
      </c>
      <c r="S2508" s="4" t="str">
        <f t="shared" si="124"/>
        <v>西藏自治区</v>
      </c>
    </row>
    <row r="2509" spans="14:19">
      <c r="N2509" s="4">
        <v>2508</v>
      </c>
      <c r="O2509" s="4" t="s">
        <v>3368</v>
      </c>
      <c r="P2509" s="4">
        <v>287</v>
      </c>
      <c r="Q2509" s="4" t="str">
        <f t="shared" si="125"/>
        <v>林芝地区</v>
      </c>
      <c r="R2509" s="4">
        <f t="shared" si="123"/>
        <v>26</v>
      </c>
      <c r="S2509" s="4" t="str">
        <f t="shared" si="124"/>
        <v>西藏自治区</v>
      </c>
    </row>
    <row r="2510" spans="14:19">
      <c r="N2510" s="4">
        <v>2509</v>
      </c>
      <c r="O2510" s="4" t="s">
        <v>3369</v>
      </c>
      <c r="P2510" s="4">
        <v>287</v>
      </c>
      <c r="Q2510" s="4" t="str">
        <f t="shared" si="125"/>
        <v>林芝地区</v>
      </c>
      <c r="R2510" s="4">
        <f t="shared" si="123"/>
        <v>26</v>
      </c>
      <c r="S2510" s="4" t="str">
        <f t="shared" si="124"/>
        <v>西藏自治区</v>
      </c>
    </row>
    <row r="2511" spans="14:19">
      <c r="N2511" s="4">
        <v>2510</v>
      </c>
      <c r="O2511" s="4" t="s">
        <v>3370</v>
      </c>
      <c r="P2511" s="4">
        <v>287</v>
      </c>
      <c r="Q2511" s="4" t="str">
        <f t="shared" si="125"/>
        <v>林芝地区</v>
      </c>
      <c r="R2511" s="4">
        <f t="shared" si="123"/>
        <v>26</v>
      </c>
      <c r="S2511" s="4" t="str">
        <f t="shared" si="124"/>
        <v>西藏自治区</v>
      </c>
    </row>
    <row r="2512" spans="14:19">
      <c r="N2512" s="4">
        <v>2511</v>
      </c>
      <c r="O2512" s="4" t="s">
        <v>1195</v>
      </c>
      <c r="P2512" s="4">
        <v>288</v>
      </c>
      <c r="Q2512" s="4" t="str">
        <f t="shared" si="125"/>
        <v>西安市</v>
      </c>
      <c r="R2512" s="4">
        <f t="shared" si="123"/>
        <v>27</v>
      </c>
      <c r="S2512" s="4" t="str">
        <f t="shared" si="124"/>
        <v>陕西省</v>
      </c>
    </row>
    <row r="2513" spans="14:19">
      <c r="N2513" s="4">
        <v>2512</v>
      </c>
      <c r="O2513" s="4" t="s">
        <v>3371</v>
      </c>
      <c r="P2513" s="4">
        <v>288</v>
      </c>
      <c r="Q2513" s="4" t="str">
        <f t="shared" si="125"/>
        <v>西安市</v>
      </c>
      <c r="R2513" s="4">
        <f t="shared" si="123"/>
        <v>27</v>
      </c>
      <c r="S2513" s="4" t="str">
        <f t="shared" si="124"/>
        <v>陕西省</v>
      </c>
    </row>
    <row r="2514" spans="14:19">
      <c r="N2514" s="4">
        <v>2513</v>
      </c>
      <c r="O2514" s="4" t="s">
        <v>3372</v>
      </c>
      <c r="P2514" s="4">
        <v>288</v>
      </c>
      <c r="Q2514" s="4" t="str">
        <f t="shared" si="125"/>
        <v>西安市</v>
      </c>
      <c r="R2514" s="4">
        <f t="shared" si="123"/>
        <v>27</v>
      </c>
      <c r="S2514" s="4" t="str">
        <f t="shared" si="124"/>
        <v>陕西省</v>
      </c>
    </row>
    <row r="2515" spans="14:19">
      <c r="N2515" s="4">
        <v>2514</v>
      </c>
      <c r="O2515" s="4" t="s">
        <v>3373</v>
      </c>
      <c r="P2515" s="4">
        <v>288</v>
      </c>
      <c r="Q2515" s="4" t="str">
        <f t="shared" si="125"/>
        <v>西安市</v>
      </c>
      <c r="R2515" s="4">
        <f t="shared" si="123"/>
        <v>27</v>
      </c>
      <c r="S2515" s="4" t="str">
        <f t="shared" si="124"/>
        <v>陕西省</v>
      </c>
    </row>
    <row r="2516" spans="14:19">
      <c r="N2516" s="4">
        <v>2515</v>
      </c>
      <c r="O2516" s="4" t="s">
        <v>3374</v>
      </c>
      <c r="P2516" s="4">
        <v>288</v>
      </c>
      <c r="Q2516" s="4" t="str">
        <f t="shared" si="125"/>
        <v>西安市</v>
      </c>
      <c r="R2516" s="4">
        <f t="shared" si="123"/>
        <v>27</v>
      </c>
      <c r="S2516" s="4" t="str">
        <f t="shared" si="124"/>
        <v>陕西省</v>
      </c>
    </row>
    <row r="2517" spans="14:19">
      <c r="N2517" s="4">
        <v>2516</v>
      </c>
      <c r="O2517" s="4" t="s">
        <v>3375</v>
      </c>
      <c r="P2517" s="4">
        <v>288</v>
      </c>
      <c r="Q2517" s="4" t="str">
        <f t="shared" si="125"/>
        <v>西安市</v>
      </c>
      <c r="R2517" s="4">
        <f t="shared" si="123"/>
        <v>27</v>
      </c>
      <c r="S2517" s="4" t="str">
        <f t="shared" si="124"/>
        <v>陕西省</v>
      </c>
    </row>
    <row r="2518" spans="14:19">
      <c r="N2518" s="4">
        <v>2517</v>
      </c>
      <c r="O2518" s="4" t="s">
        <v>3376</v>
      </c>
      <c r="P2518" s="4">
        <v>288</v>
      </c>
      <c r="Q2518" s="4" t="str">
        <f t="shared" si="125"/>
        <v>西安市</v>
      </c>
      <c r="R2518" s="4">
        <f t="shared" si="123"/>
        <v>27</v>
      </c>
      <c r="S2518" s="4" t="str">
        <f t="shared" si="124"/>
        <v>陕西省</v>
      </c>
    </row>
    <row r="2519" spans="14:19">
      <c r="N2519" s="4">
        <v>2518</v>
      </c>
      <c r="O2519" s="4" t="s">
        <v>3377</v>
      </c>
      <c r="P2519" s="4">
        <v>288</v>
      </c>
      <c r="Q2519" s="4" t="str">
        <f t="shared" si="125"/>
        <v>西安市</v>
      </c>
      <c r="R2519" s="4">
        <f t="shared" si="123"/>
        <v>27</v>
      </c>
      <c r="S2519" s="4" t="str">
        <f t="shared" si="124"/>
        <v>陕西省</v>
      </c>
    </row>
    <row r="2520" spans="14:19">
      <c r="N2520" s="4">
        <v>2519</v>
      </c>
      <c r="O2520" s="4" t="s">
        <v>319</v>
      </c>
      <c r="P2520" s="4">
        <v>288</v>
      </c>
      <c r="Q2520" s="4" t="str">
        <f t="shared" si="125"/>
        <v>西安市</v>
      </c>
      <c r="R2520" s="4">
        <f t="shared" si="123"/>
        <v>27</v>
      </c>
      <c r="S2520" s="4" t="str">
        <f t="shared" si="124"/>
        <v>陕西省</v>
      </c>
    </row>
    <row r="2521" spans="14:19">
      <c r="N2521" s="4">
        <v>2520</v>
      </c>
      <c r="O2521" s="4" t="s">
        <v>3378</v>
      </c>
      <c r="P2521" s="4">
        <v>288</v>
      </c>
      <c r="Q2521" s="4" t="str">
        <f t="shared" si="125"/>
        <v>西安市</v>
      </c>
      <c r="R2521" s="4">
        <f t="shared" si="123"/>
        <v>27</v>
      </c>
      <c r="S2521" s="4" t="str">
        <f t="shared" si="124"/>
        <v>陕西省</v>
      </c>
    </row>
    <row r="2522" spans="14:19">
      <c r="N2522" s="4">
        <v>2521</v>
      </c>
      <c r="O2522" s="4" t="s">
        <v>3379</v>
      </c>
      <c r="P2522" s="4">
        <v>288</v>
      </c>
      <c r="Q2522" s="4" t="str">
        <f t="shared" si="125"/>
        <v>西安市</v>
      </c>
      <c r="R2522" s="4">
        <f t="shared" si="123"/>
        <v>27</v>
      </c>
      <c r="S2522" s="4" t="str">
        <f t="shared" si="124"/>
        <v>陕西省</v>
      </c>
    </row>
    <row r="2523" spans="14:19">
      <c r="N2523" s="4">
        <v>2522</v>
      </c>
      <c r="O2523" s="4" t="s">
        <v>3380</v>
      </c>
      <c r="P2523" s="4">
        <v>288</v>
      </c>
      <c r="Q2523" s="4" t="str">
        <f t="shared" si="125"/>
        <v>西安市</v>
      </c>
      <c r="R2523" s="4">
        <f t="shared" si="123"/>
        <v>27</v>
      </c>
      <c r="S2523" s="4" t="str">
        <f t="shared" si="124"/>
        <v>陕西省</v>
      </c>
    </row>
    <row r="2524" spans="14:19">
      <c r="N2524" s="4">
        <v>2523</v>
      </c>
      <c r="O2524" s="4" t="s">
        <v>3381</v>
      </c>
      <c r="P2524" s="4">
        <v>288</v>
      </c>
      <c r="Q2524" s="4" t="str">
        <f t="shared" si="125"/>
        <v>西安市</v>
      </c>
      <c r="R2524" s="4">
        <f t="shared" si="123"/>
        <v>27</v>
      </c>
      <c r="S2524" s="4" t="str">
        <f t="shared" si="124"/>
        <v>陕西省</v>
      </c>
    </row>
    <row r="2525" spans="14:19">
      <c r="N2525" s="4">
        <v>2524</v>
      </c>
      <c r="O2525" s="4" t="s">
        <v>3382</v>
      </c>
      <c r="P2525" s="4">
        <v>289</v>
      </c>
      <c r="Q2525" s="4" t="str">
        <f t="shared" si="125"/>
        <v>铜川市</v>
      </c>
      <c r="R2525" s="4">
        <f t="shared" si="123"/>
        <v>27</v>
      </c>
      <c r="S2525" s="4" t="str">
        <f t="shared" si="124"/>
        <v>陕西省</v>
      </c>
    </row>
    <row r="2526" spans="14:19">
      <c r="N2526" s="4">
        <v>2525</v>
      </c>
      <c r="O2526" s="4" t="s">
        <v>3383</v>
      </c>
      <c r="P2526" s="4">
        <v>289</v>
      </c>
      <c r="Q2526" s="4" t="str">
        <f t="shared" si="125"/>
        <v>铜川市</v>
      </c>
      <c r="R2526" s="4">
        <f t="shared" si="123"/>
        <v>27</v>
      </c>
      <c r="S2526" s="4" t="str">
        <f t="shared" si="124"/>
        <v>陕西省</v>
      </c>
    </row>
    <row r="2527" spans="14:19">
      <c r="N2527" s="4">
        <v>2526</v>
      </c>
      <c r="O2527" s="4" t="s">
        <v>3384</v>
      </c>
      <c r="P2527" s="4">
        <v>289</v>
      </c>
      <c r="Q2527" s="4" t="str">
        <f t="shared" si="125"/>
        <v>铜川市</v>
      </c>
      <c r="R2527" s="4">
        <f t="shared" si="123"/>
        <v>27</v>
      </c>
      <c r="S2527" s="4" t="str">
        <f t="shared" si="124"/>
        <v>陕西省</v>
      </c>
    </row>
    <row r="2528" spans="14:19">
      <c r="N2528" s="4">
        <v>2527</v>
      </c>
      <c r="O2528" s="4" t="s">
        <v>3385</v>
      </c>
      <c r="P2528" s="4">
        <v>289</v>
      </c>
      <c r="Q2528" s="4" t="str">
        <f t="shared" si="125"/>
        <v>铜川市</v>
      </c>
      <c r="R2528" s="4">
        <f t="shared" si="123"/>
        <v>27</v>
      </c>
      <c r="S2528" s="4" t="str">
        <f t="shared" si="124"/>
        <v>陕西省</v>
      </c>
    </row>
    <row r="2529" spans="14:19">
      <c r="N2529" s="4">
        <v>2528</v>
      </c>
      <c r="O2529" s="4" t="s">
        <v>3386</v>
      </c>
      <c r="P2529" s="4">
        <v>290</v>
      </c>
      <c r="Q2529" s="4" t="str">
        <f t="shared" si="125"/>
        <v>宝鸡市</v>
      </c>
      <c r="R2529" s="4">
        <f t="shared" si="123"/>
        <v>27</v>
      </c>
      <c r="S2529" s="4" t="str">
        <f t="shared" si="124"/>
        <v>陕西省</v>
      </c>
    </row>
    <row r="2530" spans="14:19">
      <c r="N2530" s="4">
        <v>2529</v>
      </c>
      <c r="O2530" s="4" t="s">
        <v>3387</v>
      </c>
      <c r="P2530" s="4">
        <v>290</v>
      </c>
      <c r="Q2530" s="4" t="str">
        <f t="shared" si="125"/>
        <v>宝鸡市</v>
      </c>
      <c r="R2530" s="4">
        <f t="shared" si="123"/>
        <v>27</v>
      </c>
      <c r="S2530" s="4" t="str">
        <f t="shared" si="124"/>
        <v>陕西省</v>
      </c>
    </row>
    <row r="2531" spans="14:19">
      <c r="N2531" s="4">
        <v>2530</v>
      </c>
      <c r="O2531" s="4" t="s">
        <v>3388</v>
      </c>
      <c r="P2531" s="4">
        <v>290</v>
      </c>
      <c r="Q2531" s="4" t="str">
        <f t="shared" si="125"/>
        <v>宝鸡市</v>
      </c>
      <c r="R2531" s="4">
        <f t="shared" si="123"/>
        <v>27</v>
      </c>
      <c r="S2531" s="4" t="str">
        <f t="shared" si="124"/>
        <v>陕西省</v>
      </c>
    </row>
    <row r="2532" spans="14:19">
      <c r="N2532" s="4">
        <v>2531</v>
      </c>
      <c r="O2532" s="4" t="s">
        <v>3389</v>
      </c>
      <c r="P2532" s="4">
        <v>290</v>
      </c>
      <c r="Q2532" s="4" t="str">
        <f t="shared" si="125"/>
        <v>宝鸡市</v>
      </c>
      <c r="R2532" s="4">
        <f t="shared" si="123"/>
        <v>27</v>
      </c>
      <c r="S2532" s="4" t="str">
        <f t="shared" si="124"/>
        <v>陕西省</v>
      </c>
    </row>
    <row r="2533" spans="14:19">
      <c r="N2533" s="4">
        <v>2532</v>
      </c>
      <c r="O2533" s="4" t="s">
        <v>3390</v>
      </c>
      <c r="P2533" s="4">
        <v>290</v>
      </c>
      <c r="Q2533" s="4" t="str">
        <f t="shared" si="125"/>
        <v>宝鸡市</v>
      </c>
      <c r="R2533" s="4">
        <f t="shared" si="123"/>
        <v>27</v>
      </c>
      <c r="S2533" s="4" t="str">
        <f t="shared" si="124"/>
        <v>陕西省</v>
      </c>
    </row>
    <row r="2534" spans="14:19">
      <c r="N2534" s="4">
        <v>2533</v>
      </c>
      <c r="O2534" s="4" t="s">
        <v>3391</v>
      </c>
      <c r="P2534" s="4">
        <v>290</v>
      </c>
      <c r="Q2534" s="4" t="str">
        <f t="shared" si="125"/>
        <v>宝鸡市</v>
      </c>
      <c r="R2534" s="4">
        <f t="shared" si="123"/>
        <v>27</v>
      </c>
      <c r="S2534" s="4" t="str">
        <f t="shared" si="124"/>
        <v>陕西省</v>
      </c>
    </row>
    <row r="2535" spans="14:19">
      <c r="N2535" s="4">
        <v>2534</v>
      </c>
      <c r="O2535" s="4" t="s">
        <v>3392</v>
      </c>
      <c r="P2535" s="4">
        <v>290</v>
      </c>
      <c r="Q2535" s="4" t="str">
        <f t="shared" si="125"/>
        <v>宝鸡市</v>
      </c>
      <c r="R2535" s="4">
        <f t="shared" si="123"/>
        <v>27</v>
      </c>
      <c r="S2535" s="4" t="str">
        <f t="shared" si="124"/>
        <v>陕西省</v>
      </c>
    </row>
    <row r="2536" spans="14:19">
      <c r="N2536" s="4">
        <v>2535</v>
      </c>
      <c r="O2536" s="4" t="s">
        <v>3393</v>
      </c>
      <c r="P2536" s="4">
        <v>290</v>
      </c>
      <c r="Q2536" s="4" t="str">
        <f t="shared" si="125"/>
        <v>宝鸡市</v>
      </c>
      <c r="R2536" s="4">
        <f t="shared" si="123"/>
        <v>27</v>
      </c>
      <c r="S2536" s="4" t="str">
        <f t="shared" si="124"/>
        <v>陕西省</v>
      </c>
    </row>
    <row r="2537" spans="14:19">
      <c r="N2537" s="4">
        <v>2536</v>
      </c>
      <c r="O2537" s="4" t="s">
        <v>3394</v>
      </c>
      <c r="P2537" s="4">
        <v>290</v>
      </c>
      <c r="Q2537" s="4" t="str">
        <f t="shared" si="125"/>
        <v>宝鸡市</v>
      </c>
      <c r="R2537" s="4">
        <f t="shared" si="123"/>
        <v>27</v>
      </c>
      <c r="S2537" s="4" t="str">
        <f t="shared" si="124"/>
        <v>陕西省</v>
      </c>
    </row>
    <row r="2538" spans="14:19">
      <c r="N2538" s="4">
        <v>2537</v>
      </c>
      <c r="O2538" s="4" t="s">
        <v>3395</v>
      </c>
      <c r="P2538" s="4">
        <v>290</v>
      </c>
      <c r="Q2538" s="4" t="str">
        <f t="shared" si="125"/>
        <v>宝鸡市</v>
      </c>
      <c r="R2538" s="4">
        <f t="shared" si="123"/>
        <v>27</v>
      </c>
      <c r="S2538" s="4" t="str">
        <f t="shared" si="124"/>
        <v>陕西省</v>
      </c>
    </row>
    <row r="2539" spans="14:19">
      <c r="N2539" s="4">
        <v>2538</v>
      </c>
      <c r="O2539" s="4" t="s">
        <v>3396</v>
      </c>
      <c r="P2539" s="4">
        <v>290</v>
      </c>
      <c r="Q2539" s="4" t="str">
        <f t="shared" si="125"/>
        <v>宝鸡市</v>
      </c>
      <c r="R2539" s="4">
        <f t="shared" si="123"/>
        <v>27</v>
      </c>
      <c r="S2539" s="4" t="str">
        <f t="shared" si="124"/>
        <v>陕西省</v>
      </c>
    </row>
    <row r="2540" spans="14:19">
      <c r="N2540" s="4">
        <v>2539</v>
      </c>
      <c r="O2540" s="4" t="s">
        <v>3397</v>
      </c>
      <c r="P2540" s="4">
        <v>290</v>
      </c>
      <c r="Q2540" s="4" t="str">
        <f t="shared" si="125"/>
        <v>宝鸡市</v>
      </c>
      <c r="R2540" s="4">
        <f t="shared" si="123"/>
        <v>27</v>
      </c>
      <c r="S2540" s="4" t="str">
        <f t="shared" si="124"/>
        <v>陕西省</v>
      </c>
    </row>
    <row r="2541" spans="14:19">
      <c r="N2541" s="4">
        <v>2540</v>
      </c>
      <c r="O2541" s="4" t="s">
        <v>3398</v>
      </c>
      <c r="P2541" s="4">
        <v>291</v>
      </c>
      <c r="Q2541" s="4" t="str">
        <f t="shared" si="125"/>
        <v>咸阳市</v>
      </c>
      <c r="R2541" s="4">
        <f t="shared" si="123"/>
        <v>27</v>
      </c>
      <c r="S2541" s="4" t="str">
        <f t="shared" si="124"/>
        <v>陕西省</v>
      </c>
    </row>
    <row r="2542" spans="14:19">
      <c r="N2542" s="4">
        <v>2541</v>
      </c>
      <c r="O2542" s="4" t="s">
        <v>3399</v>
      </c>
      <c r="P2542" s="4">
        <v>291</v>
      </c>
      <c r="Q2542" s="4" t="str">
        <f t="shared" si="125"/>
        <v>咸阳市</v>
      </c>
      <c r="R2542" s="4">
        <f t="shared" si="123"/>
        <v>27</v>
      </c>
      <c r="S2542" s="4" t="str">
        <f t="shared" si="124"/>
        <v>陕西省</v>
      </c>
    </row>
    <row r="2543" spans="14:19">
      <c r="N2543" s="4">
        <v>2542</v>
      </c>
      <c r="O2543" s="4" t="s">
        <v>3400</v>
      </c>
      <c r="P2543" s="4">
        <v>291</v>
      </c>
      <c r="Q2543" s="4" t="str">
        <f t="shared" si="125"/>
        <v>咸阳市</v>
      </c>
      <c r="R2543" s="4">
        <f t="shared" si="123"/>
        <v>27</v>
      </c>
      <c r="S2543" s="4" t="str">
        <f t="shared" si="124"/>
        <v>陕西省</v>
      </c>
    </row>
    <row r="2544" spans="14:19">
      <c r="N2544" s="4">
        <v>2543</v>
      </c>
      <c r="O2544" s="4" t="s">
        <v>3401</v>
      </c>
      <c r="P2544" s="4">
        <v>291</v>
      </c>
      <c r="Q2544" s="4" t="str">
        <f t="shared" si="125"/>
        <v>咸阳市</v>
      </c>
      <c r="R2544" s="4">
        <f t="shared" si="123"/>
        <v>27</v>
      </c>
      <c r="S2544" s="4" t="str">
        <f t="shared" si="124"/>
        <v>陕西省</v>
      </c>
    </row>
    <row r="2545" spans="14:19">
      <c r="N2545" s="4">
        <v>2544</v>
      </c>
      <c r="O2545" s="4" t="s">
        <v>3402</v>
      </c>
      <c r="P2545" s="4">
        <v>291</v>
      </c>
      <c r="Q2545" s="4" t="str">
        <f t="shared" si="125"/>
        <v>咸阳市</v>
      </c>
      <c r="R2545" s="4">
        <f t="shared" si="123"/>
        <v>27</v>
      </c>
      <c r="S2545" s="4" t="str">
        <f t="shared" si="124"/>
        <v>陕西省</v>
      </c>
    </row>
    <row r="2546" spans="14:19">
      <c r="N2546" s="4">
        <v>2545</v>
      </c>
      <c r="O2546" s="4" t="s">
        <v>3403</v>
      </c>
      <c r="P2546" s="4">
        <v>291</v>
      </c>
      <c r="Q2546" s="4" t="str">
        <f t="shared" si="125"/>
        <v>咸阳市</v>
      </c>
      <c r="R2546" s="4">
        <f t="shared" si="123"/>
        <v>27</v>
      </c>
      <c r="S2546" s="4" t="str">
        <f t="shared" si="124"/>
        <v>陕西省</v>
      </c>
    </row>
    <row r="2547" spans="14:19">
      <c r="N2547" s="4">
        <v>2546</v>
      </c>
      <c r="O2547" s="4" t="s">
        <v>3404</v>
      </c>
      <c r="P2547" s="4">
        <v>291</v>
      </c>
      <c r="Q2547" s="4" t="str">
        <f t="shared" si="125"/>
        <v>咸阳市</v>
      </c>
      <c r="R2547" s="4">
        <f t="shared" si="123"/>
        <v>27</v>
      </c>
      <c r="S2547" s="4" t="str">
        <f t="shared" si="124"/>
        <v>陕西省</v>
      </c>
    </row>
    <row r="2548" spans="14:19">
      <c r="N2548" s="4">
        <v>2547</v>
      </c>
      <c r="O2548" s="4" t="s">
        <v>3405</v>
      </c>
      <c r="P2548" s="4">
        <v>291</v>
      </c>
      <c r="Q2548" s="4" t="str">
        <f t="shared" si="125"/>
        <v>咸阳市</v>
      </c>
      <c r="R2548" s="4">
        <f t="shared" si="123"/>
        <v>27</v>
      </c>
      <c r="S2548" s="4" t="str">
        <f t="shared" si="124"/>
        <v>陕西省</v>
      </c>
    </row>
    <row r="2549" spans="14:19">
      <c r="N2549" s="4">
        <v>2548</v>
      </c>
      <c r="O2549" s="4" t="s">
        <v>3406</v>
      </c>
      <c r="P2549" s="4">
        <v>291</v>
      </c>
      <c r="Q2549" s="4" t="str">
        <f t="shared" si="125"/>
        <v>咸阳市</v>
      </c>
      <c r="R2549" s="4">
        <f t="shared" si="123"/>
        <v>27</v>
      </c>
      <c r="S2549" s="4" t="str">
        <f t="shared" si="124"/>
        <v>陕西省</v>
      </c>
    </row>
    <row r="2550" spans="14:19">
      <c r="N2550" s="4">
        <v>2549</v>
      </c>
      <c r="O2550" s="4" t="s">
        <v>3407</v>
      </c>
      <c r="P2550" s="4">
        <v>291</v>
      </c>
      <c r="Q2550" s="4" t="str">
        <f t="shared" si="125"/>
        <v>咸阳市</v>
      </c>
      <c r="R2550" s="4">
        <f t="shared" si="123"/>
        <v>27</v>
      </c>
      <c r="S2550" s="4" t="str">
        <f t="shared" si="124"/>
        <v>陕西省</v>
      </c>
    </row>
    <row r="2551" spans="14:19">
      <c r="N2551" s="4">
        <v>2550</v>
      </c>
      <c r="O2551" s="4" t="s">
        <v>3408</v>
      </c>
      <c r="P2551" s="4">
        <v>291</v>
      </c>
      <c r="Q2551" s="4" t="str">
        <f t="shared" si="125"/>
        <v>咸阳市</v>
      </c>
      <c r="R2551" s="4">
        <f t="shared" si="123"/>
        <v>27</v>
      </c>
      <c r="S2551" s="4" t="str">
        <f t="shared" si="124"/>
        <v>陕西省</v>
      </c>
    </row>
    <row r="2552" spans="14:19">
      <c r="N2552" s="4">
        <v>2551</v>
      </c>
      <c r="O2552" s="4" t="s">
        <v>3409</v>
      </c>
      <c r="P2552" s="4">
        <v>291</v>
      </c>
      <c r="Q2552" s="4" t="str">
        <f t="shared" si="125"/>
        <v>咸阳市</v>
      </c>
      <c r="R2552" s="4">
        <f t="shared" si="123"/>
        <v>27</v>
      </c>
      <c r="S2552" s="4" t="str">
        <f t="shared" si="124"/>
        <v>陕西省</v>
      </c>
    </row>
    <row r="2553" spans="14:19">
      <c r="N2553" s="4">
        <v>2552</v>
      </c>
      <c r="O2553" s="4" t="s">
        <v>3410</v>
      </c>
      <c r="P2553" s="4">
        <v>291</v>
      </c>
      <c r="Q2553" s="4" t="str">
        <f t="shared" si="125"/>
        <v>咸阳市</v>
      </c>
      <c r="R2553" s="4">
        <f t="shared" si="123"/>
        <v>27</v>
      </c>
      <c r="S2553" s="4" t="str">
        <f t="shared" si="124"/>
        <v>陕西省</v>
      </c>
    </row>
    <row r="2554" spans="14:19">
      <c r="N2554" s="4">
        <v>2553</v>
      </c>
      <c r="O2554" s="4" t="s">
        <v>3411</v>
      </c>
      <c r="P2554" s="4">
        <v>291</v>
      </c>
      <c r="Q2554" s="4" t="str">
        <f t="shared" si="125"/>
        <v>咸阳市</v>
      </c>
      <c r="R2554" s="4">
        <f t="shared" si="123"/>
        <v>27</v>
      </c>
      <c r="S2554" s="4" t="str">
        <f t="shared" si="124"/>
        <v>陕西省</v>
      </c>
    </row>
    <row r="2555" spans="14:19">
      <c r="N2555" s="4">
        <v>2554</v>
      </c>
      <c r="O2555" s="4" t="s">
        <v>3412</v>
      </c>
      <c r="P2555" s="4">
        <v>292</v>
      </c>
      <c r="Q2555" s="4" t="str">
        <f t="shared" si="125"/>
        <v>渭南市</v>
      </c>
      <c r="R2555" s="4">
        <f t="shared" si="123"/>
        <v>27</v>
      </c>
      <c r="S2555" s="4" t="str">
        <f t="shared" si="124"/>
        <v>陕西省</v>
      </c>
    </row>
    <row r="2556" spans="14:19">
      <c r="N2556" s="4">
        <v>2555</v>
      </c>
      <c r="O2556" s="4" t="s">
        <v>3413</v>
      </c>
      <c r="P2556" s="4">
        <v>292</v>
      </c>
      <c r="Q2556" s="4" t="str">
        <f t="shared" si="125"/>
        <v>渭南市</v>
      </c>
      <c r="R2556" s="4">
        <f t="shared" si="123"/>
        <v>27</v>
      </c>
      <c r="S2556" s="4" t="str">
        <f t="shared" si="124"/>
        <v>陕西省</v>
      </c>
    </row>
    <row r="2557" spans="14:19">
      <c r="N2557" s="4">
        <v>2556</v>
      </c>
      <c r="O2557" s="4" t="s">
        <v>3414</v>
      </c>
      <c r="P2557" s="4">
        <v>292</v>
      </c>
      <c r="Q2557" s="4" t="str">
        <f t="shared" si="125"/>
        <v>渭南市</v>
      </c>
      <c r="R2557" s="4">
        <f t="shared" si="123"/>
        <v>27</v>
      </c>
      <c r="S2557" s="4" t="str">
        <f t="shared" si="124"/>
        <v>陕西省</v>
      </c>
    </row>
    <row r="2558" spans="14:19">
      <c r="N2558" s="4">
        <v>2557</v>
      </c>
      <c r="O2558" s="4" t="s">
        <v>3415</v>
      </c>
      <c r="P2558" s="4">
        <v>292</v>
      </c>
      <c r="Q2558" s="4" t="str">
        <f t="shared" si="125"/>
        <v>渭南市</v>
      </c>
      <c r="R2558" s="4">
        <f t="shared" si="123"/>
        <v>27</v>
      </c>
      <c r="S2558" s="4" t="str">
        <f t="shared" si="124"/>
        <v>陕西省</v>
      </c>
    </row>
    <row r="2559" spans="14:19">
      <c r="N2559" s="4">
        <v>2558</v>
      </c>
      <c r="O2559" s="4" t="s">
        <v>3416</v>
      </c>
      <c r="P2559" s="4">
        <v>292</v>
      </c>
      <c r="Q2559" s="4" t="str">
        <f t="shared" si="125"/>
        <v>渭南市</v>
      </c>
      <c r="R2559" s="4">
        <f t="shared" si="123"/>
        <v>27</v>
      </c>
      <c r="S2559" s="4" t="str">
        <f t="shared" si="124"/>
        <v>陕西省</v>
      </c>
    </row>
    <row r="2560" spans="14:19">
      <c r="N2560" s="4">
        <v>2559</v>
      </c>
      <c r="O2560" s="4" t="s">
        <v>3417</v>
      </c>
      <c r="P2560" s="4">
        <v>292</v>
      </c>
      <c r="Q2560" s="4" t="str">
        <f t="shared" si="125"/>
        <v>渭南市</v>
      </c>
      <c r="R2560" s="4">
        <f t="shared" si="123"/>
        <v>27</v>
      </c>
      <c r="S2560" s="4" t="str">
        <f t="shared" si="124"/>
        <v>陕西省</v>
      </c>
    </row>
    <row r="2561" spans="14:19">
      <c r="N2561" s="4">
        <v>2560</v>
      </c>
      <c r="O2561" s="4" t="s">
        <v>3418</v>
      </c>
      <c r="P2561" s="4">
        <v>292</v>
      </c>
      <c r="Q2561" s="4" t="str">
        <f t="shared" si="125"/>
        <v>渭南市</v>
      </c>
      <c r="R2561" s="4">
        <f t="shared" si="123"/>
        <v>27</v>
      </c>
      <c r="S2561" s="4" t="str">
        <f t="shared" si="124"/>
        <v>陕西省</v>
      </c>
    </row>
    <row r="2562" spans="14:19">
      <c r="N2562" s="4">
        <v>2561</v>
      </c>
      <c r="O2562" s="4" t="s">
        <v>3419</v>
      </c>
      <c r="P2562" s="4">
        <v>292</v>
      </c>
      <c r="Q2562" s="4" t="str">
        <f t="shared" si="125"/>
        <v>渭南市</v>
      </c>
      <c r="R2562" s="4">
        <f t="shared" ref="R2562:R2625" si="126">VLOOKUP(P2562,$I$2:$M$346,3,FALSE)</f>
        <v>27</v>
      </c>
      <c r="S2562" s="4" t="str">
        <f t="shared" ref="S2562:S2625" si="127">VLOOKUP(P2562,$I$2:$M$346,4,FALSE)</f>
        <v>陕西省</v>
      </c>
    </row>
    <row r="2563" spans="14:19">
      <c r="N2563" s="4">
        <v>2562</v>
      </c>
      <c r="O2563" s="4" t="s">
        <v>3420</v>
      </c>
      <c r="P2563" s="4">
        <v>292</v>
      </c>
      <c r="Q2563" s="4" t="str">
        <f t="shared" ref="Q2563:Q2626" si="128">VLOOKUP(P2563,$I$2:$J$346,2,FALSE)</f>
        <v>渭南市</v>
      </c>
      <c r="R2563" s="4">
        <f t="shared" si="126"/>
        <v>27</v>
      </c>
      <c r="S2563" s="4" t="str">
        <f t="shared" si="127"/>
        <v>陕西省</v>
      </c>
    </row>
    <row r="2564" spans="14:19">
      <c r="N2564" s="4">
        <v>2563</v>
      </c>
      <c r="O2564" s="4" t="s">
        <v>3421</v>
      </c>
      <c r="P2564" s="4">
        <v>292</v>
      </c>
      <c r="Q2564" s="4" t="str">
        <f t="shared" si="128"/>
        <v>渭南市</v>
      </c>
      <c r="R2564" s="4">
        <f t="shared" si="126"/>
        <v>27</v>
      </c>
      <c r="S2564" s="4" t="str">
        <f t="shared" si="127"/>
        <v>陕西省</v>
      </c>
    </row>
    <row r="2565" spans="14:19">
      <c r="N2565" s="4">
        <v>2564</v>
      </c>
      <c r="O2565" s="4" t="s">
        <v>3422</v>
      </c>
      <c r="P2565" s="4">
        <v>292</v>
      </c>
      <c r="Q2565" s="4" t="str">
        <f t="shared" si="128"/>
        <v>渭南市</v>
      </c>
      <c r="R2565" s="4">
        <f t="shared" si="126"/>
        <v>27</v>
      </c>
      <c r="S2565" s="4" t="str">
        <f t="shared" si="127"/>
        <v>陕西省</v>
      </c>
    </row>
    <row r="2566" spans="14:19">
      <c r="N2566" s="4">
        <v>2565</v>
      </c>
      <c r="O2566" s="4" t="s">
        <v>3423</v>
      </c>
      <c r="P2566" s="4">
        <v>293</v>
      </c>
      <c r="Q2566" s="4" t="str">
        <f t="shared" si="128"/>
        <v>延安市</v>
      </c>
      <c r="R2566" s="4">
        <f t="shared" si="126"/>
        <v>27</v>
      </c>
      <c r="S2566" s="4" t="str">
        <f t="shared" si="127"/>
        <v>陕西省</v>
      </c>
    </row>
    <row r="2567" spans="14:19">
      <c r="N2567" s="4">
        <v>2566</v>
      </c>
      <c r="O2567" s="4" t="s">
        <v>3424</v>
      </c>
      <c r="P2567" s="4">
        <v>293</v>
      </c>
      <c r="Q2567" s="4" t="str">
        <f t="shared" si="128"/>
        <v>延安市</v>
      </c>
      <c r="R2567" s="4">
        <f t="shared" si="126"/>
        <v>27</v>
      </c>
      <c r="S2567" s="4" t="str">
        <f t="shared" si="127"/>
        <v>陕西省</v>
      </c>
    </row>
    <row r="2568" spans="14:19">
      <c r="N2568" s="4">
        <v>2567</v>
      </c>
      <c r="O2568" s="4" t="s">
        <v>3425</v>
      </c>
      <c r="P2568" s="4">
        <v>293</v>
      </c>
      <c r="Q2568" s="4" t="str">
        <f t="shared" si="128"/>
        <v>延安市</v>
      </c>
      <c r="R2568" s="4">
        <f t="shared" si="126"/>
        <v>27</v>
      </c>
      <c r="S2568" s="4" t="str">
        <f t="shared" si="127"/>
        <v>陕西省</v>
      </c>
    </row>
    <row r="2569" spans="14:19">
      <c r="N2569" s="4">
        <v>2568</v>
      </c>
      <c r="O2569" s="4" t="s">
        <v>3426</v>
      </c>
      <c r="P2569" s="4">
        <v>293</v>
      </c>
      <c r="Q2569" s="4" t="str">
        <f t="shared" si="128"/>
        <v>延安市</v>
      </c>
      <c r="R2569" s="4">
        <f t="shared" si="126"/>
        <v>27</v>
      </c>
      <c r="S2569" s="4" t="str">
        <f t="shared" si="127"/>
        <v>陕西省</v>
      </c>
    </row>
    <row r="2570" spans="14:19">
      <c r="N2570" s="4">
        <v>2569</v>
      </c>
      <c r="O2570" s="4" t="s">
        <v>3427</v>
      </c>
      <c r="P2570" s="4">
        <v>293</v>
      </c>
      <c r="Q2570" s="4" t="str">
        <f t="shared" si="128"/>
        <v>延安市</v>
      </c>
      <c r="R2570" s="4">
        <f t="shared" si="126"/>
        <v>27</v>
      </c>
      <c r="S2570" s="4" t="str">
        <f t="shared" si="127"/>
        <v>陕西省</v>
      </c>
    </row>
    <row r="2571" spans="14:19">
      <c r="N2571" s="4">
        <v>2570</v>
      </c>
      <c r="O2571" s="4" t="s">
        <v>3428</v>
      </c>
      <c r="P2571" s="4">
        <v>293</v>
      </c>
      <c r="Q2571" s="4" t="str">
        <f t="shared" si="128"/>
        <v>延安市</v>
      </c>
      <c r="R2571" s="4">
        <f t="shared" si="126"/>
        <v>27</v>
      </c>
      <c r="S2571" s="4" t="str">
        <f t="shared" si="127"/>
        <v>陕西省</v>
      </c>
    </row>
    <row r="2572" spans="14:19">
      <c r="N2572" s="4">
        <v>2571</v>
      </c>
      <c r="O2572" s="4" t="s">
        <v>3429</v>
      </c>
      <c r="P2572" s="4">
        <v>293</v>
      </c>
      <c r="Q2572" s="4" t="str">
        <f t="shared" si="128"/>
        <v>延安市</v>
      </c>
      <c r="R2572" s="4">
        <f t="shared" si="126"/>
        <v>27</v>
      </c>
      <c r="S2572" s="4" t="str">
        <f t="shared" si="127"/>
        <v>陕西省</v>
      </c>
    </row>
    <row r="2573" spans="14:19">
      <c r="N2573" s="4">
        <v>2572</v>
      </c>
      <c r="O2573" s="4" t="s">
        <v>3430</v>
      </c>
      <c r="P2573" s="4">
        <v>293</v>
      </c>
      <c r="Q2573" s="4" t="str">
        <f t="shared" si="128"/>
        <v>延安市</v>
      </c>
      <c r="R2573" s="4">
        <f t="shared" si="126"/>
        <v>27</v>
      </c>
      <c r="S2573" s="4" t="str">
        <f t="shared" si="127"/>
        <v>陕西省</v>
      </c>
    </row>
    <row r="2574" spans="14:19">
      <c r="N2574" s="4">
        <v>2573</v>
      </c>
      <c r="O2574" s="4" t="s">
        <v>3431</v>
      </c>
      <c r="P2574" s="4">
        <v>293</v>
      </c>
      <c r="Q2574" s="4" t="str">
        <f t="shared" si="128"/>
        <v>延安市</v>
      </c>
      <c r="R2574" s="4">
        <f t="shared" si="126"/>
        <v>27</v>
      </c>
      <c r="S2574" s="4" t="str">
        <f t="shared" si="127"/>
        <v>陕西省</v>
      </c>
    </row>
    <row r="2575" spans="14:19">
      <c r="N2575" s="4">
        <v>2574</v>
      </c>
      <c r="O2575" s="4" t="s">
        <v>3432</v>
      </c>
      <c r="P2575" s="4">
        <v>293</v>
      </c>
      <c r="Q2575" s="4" t="str">
        <f t="shared" si="128"/>
        <v>延安市</v>
      </c>
      <c r="R2575" s="4">
        <f t="shared" si="126"/>
        <v>27</v>
      </c>
      <c r="S2575" s="4" t="str">
        <f t="shared" si="127"/>
        <v>陕西省</v>
      </c>
    </row>
    <row r="2576" spans="14:19">
      <c r="N2576" s="4">
        <v>2575</v>
      </c>
      <c r="O2576" s="4" t="s">
        <v>3433</v>
      </c>
      <c r="P2576" s="4">
        <v>293</v>
      </c>
      <c r="Q2576" s="4" t="str">
        <f t="shared" si="128"/>
        <v>延安市</v>
      </c>
      <c r="R2576" s="4">
        <f t="shared" si="126"/>
        <v>27</v>
      </c>
      <c r="S2576" s="4" t="str">
        <f t="shared" si="127"/>
        <v>陕西省</v>
      </c>
    </row>
    <row r="2577" spans="14:19">
      <c r="N2577" s="4">
        <v>2576</v>
      </c>
      <c r="O2577" s="4" t="s">
        <v>3434</v>
      </c>
      <c r="P2577" s="4">
        <v>293</v>
      </c>
      <c r="Q2577" s="4" t="str">
        <f t="shared" si="128"/>
        <v>延安市</v>
      </c>
      <c r="R2577" s="4">
        <f t="shared" si="126"/>
        <v>27</v>
      </c>
      <c r="S2577" s="4" t="str">
        <f t="shared" si="127"/>
        <v>陕西省</v>
      </c>
    </row>
    <row r="2578" spans="14:19">
      <c r="N2578" s="4">
        <v>2577</v>
      </c>
      <c r="O2578" s="4" t="s">
        <v>3435</v>
      </c>
      <c r="P2578" s="4">
        <v>293</v>
      </c>
      <c r="Q2578" s="4" t="str">
        <f t="shared" si="128"/>
        <v>延安市</v>
      </c>
      <c r="R2578" s="4">
        <f t="shared" si="126"/>
        <v>27</v>
      </c>
      <c r="S2578" s="4" t="str">
        <f t="shared" si="127"/>
        <v>陕西省</v>
      </c>
    </row>
    <row r="2579" spans="14:19">
      <c r="N2579" s="4">
        <v>2578</v>
      </c>
      <c r="O2579" s="4" t="s">
        <v>3436</v>
      </c>
      <c r="P2579" s="4">
        <v>294</v>
      </c>
      <c r="Q2579" s="4" t="str">
        <f t="shared" si="128"/>
        <v>汉中市</v>
      </c>
      <c r="R2579" s="4">
        <f t="shared" si="126"/>
        <v>27</v>
      </c>
      <c r="S2579" s="4" t="str">
        <f t="shared" si="127"/>
        <v>陕西省</v>
      </c>
    </row>
    <row r="2580" spans="14:19">
      <c r="N2580" s="4">
        <v>2579</v>
      </c>
      <c r="O2580" s="4" t="s">
        <v>3437</v>
      </c>
      <c r="P2580" s="4">
        <v>294</v>
      </c>
      <c r="Q2580" s="4" t="str">
        <f t="shared" si="128"/>
        <v>汉中市</v>
      </c>
      <c r="R2580" s="4">
        <f t="shared" si="126"/>
        <v>27</v>
      </c>
      <c r="S2580" s="4" t="str">
        <f t="shared" si="127"/>
        <v>陕西省</v>
      </c>
    </row>
    <row r="2581" spans="14:19">
      <c r="N2581" s="4">
        <v>2580</v>
      </c>
      <c r="O2581" s="4" t="s">
        <v>3438</v>
      </c>
      <c r="P2581" s="4">
        <v>294</v>
      </c>
      <c r="Q2581" s="4" t="str">
        <f t="shared" si="128"/>
        <v>汉中市</v>
      </c>
      <c r="R2581" s="4">
        <f t="shared" si="126"/>
        <v>27</v>
      </c>
      <c r="S2581" s="4" t="str">
        <f t="shared" si="127"/>
        <v>陕西省</v>
      </c>
    </row>
    <row r="2582" spans="14:19">
      <c r="N2582" s="4">
        <v>2581</v>
      </c>
      <c r="O2582" s="4" t="s">
        <v>3439</v>
      </c>
      <c r="P2582" s="4">
        <v>294</v>
      </c>
      <c r="Q2582" s="4" t="str">
        <f t="shared" si="128"/>
        <v>汉中市</v>
      </c>
      <c r="R2582" s="4">
        <f t="shared" si="126"/>
        <v>27</v>
      </c>
      <c r="S2582" s="4" t="str">
        <f t="shared" si="127"/>
        <v>陕西省</v>
      </c>
    </row>
    <row r="2583" spans="14:19">
      <c r="N2583" s="4">
        <v>2582</v>
      </c>
      <c r="O2583" s="4" t="s">
        <v>3440</v>
      </c>
      <c r="P2583" s="4">
        <v>294</v>
      </c>
      <c r="Q2583" s="4" t="str">
        <f t="shared" si="128"/>
        <v>汉中市</v>
      </c>
      <c r="R2583" s="4">
        <f t="shared" si="126"/>
        <v>27</v>
      </c>
      <c r="S2583" s="4" t="str">
        <f t="shared" si="127"/>
        <v>陕西省</v>
      </c>
    </row>
    <row r="2584" spans="14:19">
      <c r="N2584" s="4">
        <v>2583</v>
      </c>
      <c r="O2584" s="4" t="s">
        <v>3441</v>
      </c>
      <c r="P2584" s="4">
        <v>294</v>
      </c>
      <c r="Q2584" s="4" t="str">
        <f t="shared" si="128"/>
        <v>汉中市</v>
      </c>
      <c r="R2584" s="4">
        <f t="shared" si="126"/>
        <v>27</v>
      </c>
      <c r="S2584" s="4" t="str">
        <f t="shared" si="127"/>
        <v>陕西省</v>
      </c>
    </row>
    <row r="2585" spans="14:19">
      <c r="N2585" s="4">
        <v>2584</v>
      </c>
      <c r="O2585" s="4" t="s">
        <v>3442</v>
      </c>
      <c r="P2585" s="4">
        <v>294</v>
      </c>
      <c r="Q2585" s="4" t="str">
        <f t="shared" si="128"/>
        <v>汉中市</v>
      </c>
      <c r="R2585" s="4">
        <f t="shared" si="126"/>
        <v>27</v>
      </c>
      <c r="S2585" s="4" t="str">
        <f t="shared" si="127"/>
        <v>陕西省</v>
      </c>
    </row>
    <row r="2586" spans="14:19">
      <c r="N2586" s="4">
        <v>2585</v>
      </c>
      <c r="O2586" s="4" t="s">
        <v>3443</v>
      </c>
      <c r="P2586" s="4">
        <v>294</v>
      </c>
      <c r="Q2586" s="4" t="str">
        <f t="shared" si="128"/>
        <v>汉中市</v>
      </c>
      <c r="R2586" s="4">
        <f t="shared" si="126"/>
        <v>27</v>
      </c>
      <c r="S2586" s="4" t="str">
        <f t="shared" si="127"/>
        <v>陕西省</v>
      </c>
    </row>
    <row r="2587" spans="14:19">
      <c r="N2587" s="4">
        <v>2586</v>
      </c>
      <c r="O2587" s="4" t="s">
        <v>3444</v>
      </c>
      <c r="P2587" s="4">
        <v>294</v>
      </c>
      <c r="Q2587" s="4" t="str">
        <f t="shared" si="128"/>
        <v>汉中市</v>
      </c>
      <c r="R2587" s="4">
        <f t="shared" si="126"/>
        <v>27</v>
      </c>
      <c r="S2587" s="4" t="str">
        <f t="shared" si="127"/>
        <v>陕西省</v>
      </c>
    </row>
    <row r="2588" spans="14:19">
      <c r="N2588" s="4">
        <v>2587</v>
      </c>
      <c r="O2588" s="4" t="s">
        <v>3445</v>
      </c>
      <c r="P2588" s="4">
        <v>294</v>
      </c>
      <c r="Q2588" s="4" t="str">
        <f t="shared" si="128"/>
        <v>汉中市</v>
      </c>
      <c r="R2588" s="4">
        <f t="shared" si="126"/>
        <v>27</v>
      </c>
      <c r="S2588" s="4" t="str">
        <f t="shared" si="127"/>
        <v>陕西省</v>
      </c>
    </row>
    <row r="2589" spans="14:19">
      <c r="N2589" s="4">
        <v>2588</v>
      </c>
      <c r="O2589" s="4" t="s">
        <v>3446</v>
      </c>
      <c r="P2589" s="4">
        <v>294</v>
      </c>
      <c r="Q2589" s="4" t="str">
        <f t="shared" si="128"/>
        <v>汉中市</v>
      </c>
      <c r="R2589" s="4">
        <f t="shared" si="126"/>
        <v>27</v>
      </c>
      <c r="S2589" s="4" t="str">
        <f t="shared" si="127"/>
        <v>陕西省</v>
      </c>
    </row>
    <row r="2590" spans="14:19">
      <c r="N2590" s="4">
        <v>2589</v>
      </c>
      <c r="O2590" s="4" t="s">
        <v>3447</v>
      </c>
      <c r="P2590" s="4">
        <v>295</v>
      </c>
      <c r="Q2590" s="4" t="str">
        <f t="shared" si="128"/>
        <v>榆林市</v>
      </c>
      <c r="R2590" s="4">
        <f t="shared" si="126"/>
        <v>27</v>
      </c>
      <c r="S2590" s="4" t="str">
        <f t="shared" si="127"/>
        <v>陕西省</v>
      </c>
    </row>
    <row r="2591" spans="14:19">
      <c r="N2591" s="4">
        <v>2590</v>
      </c>
      <c r="O2591" s="4" t="s">
        <v>3448</v>
      </c>
      <c r="P2591" s="4">
        <v>295</v>
      </c>
      <c r="Q2591" s="4" t="str">
        <f t="shared" si="128"/>
        <v>榆林市</v>
      </c>
      <c r="R2591" s="4">
        <f t="shared" si="126"/>
        <v>27</v>
      </c>
      <c r="S2591" s="4" t="str">
        <f t="shared" si="127"/>
        <v>陕西省</v>
      </c>
    </row>
    <row r="2592" spans="14:19">
      <c r="N2592" s="4">
        <v>2591</v>
      </c>
      <c r="O2592" s="4" t="s">
        <v>3449</v>
      </c>
      <c r="P2592" s="4">
        <v>295</v>
      </c>
      <c r="Q2592" s="4" t="str">
        <f t="shared" si="128"/>
        <v>榆林市</v>
      </c>
      <c r="R2592" s="4">
        <f t="shared" si="126"/>
        <v>27</v>
      </c>
      <c r="S2592" s="4" t="str">
        <f t="shared" si="127"/>
        <v>陕西省</v>
      </c>
    </row>
    <row r="2593" spans="14:19">
      <c r="N2593" s="4">
        <v>2592</v>
      </c>
      <c r="O2593" s="4" t="s">
        <v>3450</v>
      </c>
      <c r="P2593" s="4">
        <v>295</v>
      </c>
      <c r="Q2593" s="4" t="str">
        <f t="shared" si="128"/>
        <v>榆林市</v>
      </c>
      <c r="R2593" s="4">
        <f t="shared" si="126"/>
        <v>27</v>
      </c>
      <c r="S2593" s="4" t="str">
        <f t="shared" si="127"/>
        <v>陕西省</v>
      </c>
    </row>
    <row r="2594" spans="14:19">
      <c r="N2594" s="4">
        <v>2593</v>
      </c>
      <c r="O2594" s="4" t="s">
        <v>3451</v>
      </c>
      <c r="P2594" s="4">
        <v>295</v>
      </c>
      <c r="Q2594" s="4" t="str">
        <f t="shared" si="128"/>
        <v>榆林市</v>
      </c>
      <c r="R2594" s="4">
        <f t="shared" si="126"/>
        <v>27</v>
      </c>
      <c r="S2594" s="4" t="str">
        <f t="shared" si="127"/>
        <v>陕西省</v>
      </c>
    </row>
    <row r="2595" spans="14:19">
      <c r="N2595" s="4">
        <v>2594</v>
      </c>
      <c r="O2595" s="4" t="s">
        <v>3452</v>
      </c>
      <c r="P2595" s="4">
        <v>295</v>
      </c>
      <c r="Q2595" s="4" t="str">
        <f t="shared" si="128"/>
        <v>榆林市</v>
      </c>
      <c r="R2595" s="4">
        <f t="shared" si="126"/>
        <v>27</v>
      </c>
      <c r="S2595" s="4" t="str">
        <f t="shared" si="127"/>
        <v>陕西省</v>
      </c>
    </row>
    <row r="2596" spans="14:19">
      <c r="N2596" s="4">
        <v>2595</v>
      </c>
      <c r="O2596" s="4" t="s">
        <v>3453</v>
      </c>
      <c r="P2596" s="4">
        <v>295</v>
      </c>
      <c r="Q2596" s="4" t="str">
        <f t="shared" si="128"/>
        <v>榆林市</v>
      </c>
      <c r="R2596" s="4">
        <f t="shared" si="126"/>
        <v>27</v>
      </c>
      <c r="S2596" s="4" t="str">
        <f t="shared" si="127"/>
        <v>陕西省</v>
      </c>
    </row>
    <row r="2597" spans="14:19">
      <c r="N2597" s="4">
        <v>2596</v>
      </c>
      <c r="O2597" s="4" t="s">
        <v>3454</v>
      </c>
      <c r="P2597" s="4">
        <v>295</v>
      </c>
      <c r="Q2597" s="4" t="str">
        <f t="shared" si="128"/>
        <v>榆林市</v>
      </c>
      <c r="R2597" s="4">
        <f t="shared" si="126"/>
        <v>27</v>
      </c>
      <c r="S2597" s="4" t="str">
        <f t="shared" si="127"/>
        <v>陕西省</v>
      </c>
    </row>
    <row r="2598" spans="14:19">
      <c r="N2598" s="4">
        <v>2597</v>
      </c>
      <c r="O2598" s="4" t="s">
        <v>3455</v>
      </c>
      <c r="P2598" s="4">
        <v>295</v>
      </c>
      <c r="Q2598" s="4" t="str">
        <f t="shared" si="128"/>
        <v>榆林市</v>
      </c>
      <c r="R2598" s="4">
        <f t="shared" si="126"/>
        <v>27</v>
      </c>
      <c r="S2598" s="4" t="str">
        <f t="shared" si="127"/>
        <v>陕西省</v>
      </c>
    </row>
    <row r="2599" spans="14:19">
      <c r="N2599" s="4">
        <v>2598</v>
      </c>
      <c r="O2599" s="4" t="s">
        <v>3456</v>
      </c>
      <c r="P2599" s="4">
        <v>295</v>
      </c>
      <c r="Q2599" s="4" t="str">
        <f t="shared" si="128"/>
        <v>榆林市</v>
      </c>
      <c r="R2599" s="4">
        <f t="shared" si="126"/>
        <v>27</v>
      </c>
      <c r="S2599" s="4" t="str">
        <f t="shared" si="127"/>
        <v>陕西省</v>
      </c>
    </row>
    <row r="2600" spans="14:19">
      <c r="N2600" s="4">
        <v>2599</v>
      </c>
      <c r="O2600" s="4" t="s">
        <v>3457</v>
      </c>
      <c r="P2600" s="4">
        <v>295</v>
      </c>
      <c r="Q2600" s="4" t="str">
        <f t="shared" si="128"/>
        <v>榆林市</v>
      </c>
      <c r="R2600" s="4">
        <f t="shared" si="126"/>
        <v>27</v>
      </c>
      <c r="S2600" s="4" t="str">
        <f t="shared" si="127"/>
        <v>陕西省</v>
      </c>
    </row>
    <row r="2601" spans="14:19">
      <c r="N2601" s="4">
        <v>2600</v>
      </c>
      <c r="O2601" s="4" t="s">
        <v>3458</v>
      </c>
      <c r="P2601" s="4">
        <v>295</v>
      </c>
      <c r="Q2601" s="4" t="str">
        <f t="shared" si="128"/>
        <v>榆林市</v>
      </c>
      <c r="R2601" s="4">
        <f t="shared" si="126"/>
        <v>27</v>
      </c>
      <c r="S2601" s="4" t="str">
        <f t="shared" si="127"/>
        <v>陕西省</v>
      </c>
    </row>
    <row r="2602" spans="14:19">
      <c r="N2602" s="4">
        <v>2601</v>
      </c>
      <c r="O2602" s="4" t="s">
        <v>3459</v>
      </c>
      <c r="P2602" s="4">
        <v>296</v>
      </c>
      <c r="Q2602" s="4" t="str">
        <f t="shared" si="128"/>
        <v>安康市</v>
      </c>
      <c r="R2602" s="4">
        <f t="shared" si="126"/>
        <v>27</v>
      </c>
      <c r="S2602" s="4" t="str">
        <f t="shared" si="127"/>
        <v>陕西省</v>
      </c>
    </row>
    <row r="2603" spans="14:19">
      <c r="N2603" s="4">
        <v>2602</v>
      </c>
      <c r="O2603" s="4" t="s">
        <v>3460</v>
      </c>
      <c r="P2603" s="4">
        <v>296</v>
      </c>
      <c r="Q2603" s="4" t="str">
        <f t="shared" si="128"/>
        <v>安康市</v>
      </c>
      <c r="R2603" s="4">
        <f t="shared" si="126"/>
        <v>27</v>
      </c>
      <c r="S2603" s="4" t="str">
        <f t="shared" si="127"/>
        <v>陕西省</v>
      </c>
    </row>
    <row r="2604" spans="14:19">
      <c r="N2604" s="4">
        <v>2603</v>
      </c>
      <c r="O2604" s="4" t="s">
        <v>3461</v>
      </c>
      <c r="P2604" s="4">
        <v>296</v>
      </c>
      <c r="Q2604" s="4" t="str">
        <f t="shared" si="128"/>
        <v>安康市</v>
      </c>
      <c r="R2604" s="4">
        <f t="shared" si="126"/>
        <v>27</v>
      </c>
      <c r="S2604" s="4" t="str">
        <f t="shared" si="127"/>
        <v>陕西省</v>
      </c>
    </row>
    <row r="2605" spans="14:19">
      <c r="N2605" s="4">
        <v>2604</v>
      </c>
      <c r="O2605" s="4" t="s">
        <v>3462</v>
      </c>
      <c r="P2605" s="4">
        <v>296</v>
      </c>
      <c r="Q2605" s="4" t="str">
        <f t="shared" si="128"/>
        <v>安康市</v>
      </c>
      <c r="R2605" s="4">
        <f t="shared" si="126"/>
        <v>27</v>
      </c>
      <c r="S2605" s="4" t="str">
        <f t="shared" si="127"/>
        <v>陕西省</v>
      </c>
    </row>
    <row r="2606" spans="14:19">
      <c r="N2606" s="4">
        <v>2605</v>
      </c>
      <c r="O2606" s="4" t="s">
        <v>3463</v>
      </c>
      <c r="P2606" s="4">
        <v>296</v>
      </c>
      <c r="Q2606" s="4" t="str">
        <f t="shared" si="128"/>
        <v>安康市</v>
      </c>
      <c r="R2606" s="4">
        <f t="shared" si="126"/>
        <v>27</v>
      </c>
      <c r="S2606" s="4" t="str">
        <f t="shared" si="127"/>
        <v>陕西省</v>
      </c>
    </row>
    <row r="2607" spans="14:19">
      <c r="N2607" s="4">
        <v>2606</v>
      </c>
      <c r="O2607" s="4" t="s">
        <v>3464</v>
      </c>
      <c r="P2607" s="4">
        <v>296</v>
      </c>
      <c r="Q2607" s="4" t="str">
        <f t="shared" si="128"/>
        <v>安康市</v>
      </c>
      <c r="R2607" s="4">
        <f t="shared" si="126"/>
        <v>27</v>
      </c>
      <c r="S2607" s="4" t="str">
        <f t="shared" si="127"/>
        <v>陕西省</v>
      </c>
    </row>
    <row r="2608" spans="14:19">
      <c r="N2608" s="4">
        <v>2607</v>
      </c>
      <c r="O2608" s="4" t="s">
        <v>3465</v>
      </c>
      <c r="P2608" s="4">
        <v>296</v>
      </c>
      <c r="Q2608" s="4" t="str">
        <f t="shared" si="128"/>
        <v>安康市</v>
      </c>
      <c r="R2608" s="4">
        <f t="shared" si="126"/>
        <v>27</v>
      </c>
      <c r="S2608" s="4" t="str">
        <f t="shared" si="127"/>
        <v>陕西省</v>
      </c>
    </row>
    <row r="2609" spans="14:19">
      <c r="N2609" s="4">
        <v>2608</v>
      </c>
      <c r="O2609" s="4" t="s">
        <v>3466</v>
      </c>
      <c r="P2609" s="4">
        <v>296</v>
      </c>
      <c r="Q2609" s="4" t="str">
        <f t="shared" si="128"/>
        <v>安康市</v>
      </c>
      <c r="R2609" s="4">
        <f t="shared" si="126"/>
        <v>27</v>
      </c>
      <c r="S2609" s="4" t="str">
        <f t="shared" si="127"/>
        <v>陕西省</v>
      </c>
    </row>
    <row r="2610" spans="14:19">
      <c r="N2610" s="4">
        <v>2609</v>
      </c>
      <c r="O2610" s="4" t="s">
        <v>3467</v>
      </c>
      <c r="P2610" s="4">
        <v>296</v>
      </c>
      <c r="Q2610" s="4" t="str">
        <f t="shared" si="128"/>
        <v>安康市</v>
      </c>
      <c r="R2610" s="4">
        <f t="shared" si="126"/>
        <v>27</v>
      </c>
      <c r="S2610" s="4" t="str">
        <f t="shared" si="127"/>
        <v>陕西省</v>
      </c>
    </row>
    <row r="2611" spans="14:19">
      <c r="N2611" s="4">
        <v>2610</v>
      </c>
      <c r="O2611" s="4" t="s">
        <v>3468</v>
      </c>
      <c r="P2611" s="4">
        <v>296</v>
      </c>
      <c r="Q2611" s="4" t="str">
        <f t="shared" si="128"/>
        <v>安康市</v>
      </c>
      <c r="R2611" s="4">
        <f t="shared" si="126"/>
        <v>27</v>
      </c>
      <c r="S2611" s="4" t="str">
        <f t="shared" si="127"/>
        <v>陕西省</v>
      </c>
    </row>
    <row r="2612" spans="14:19">
      <c r="N2612" s="4">
        <v>2611</v>
      </c>
      <c r="O2612" s="4" t="s">
        <v>3469</v>
      </c>
      <c r="P2612" s="4">
        <v>297</v>
      </c>
      <c r="Q2612" s="4" t="str">
        <f t="shared" si="128"/>
        <v>商洛市</v>
      </c>
      <c r="R2612" s="4">
        <f t="shared" si="126"/>
        <v>27</v>
      </c>
      <c r="S2612" s="4" t="str">
        <f t="shared" si="127"/>
        <v>陕西省</v>
      </c>
    </row>
    <row r="2613" spans="14:19">
      <c r="N2613" s="4">
        <v>2612</v>
      </c>
      <c r="O2613" s="4" t="s">
        <v>3470</v>
      </c>
      <c r="P2613" s="4">
        <v>297</v>
      </c>
      <c r="Q2613" s="4" t="str">
        <f t="shared" si="128"/>
        <v>商洛市</v>
      </c>
      <c r="R2613" s="4">
        <f t="shared" si="126"/>
        <v>27</v>
      </c>
      <c r="S2613" s="4" t="str">
        <f t="shared" si="127"/>
        <v>陕西省</v>
      </c>
    </row>
    <row r="2614" spans="14:19">
      <c r="N2614" s="4">
        <v>2613</v>
      </c>
      <c r="O2614" s="4" t="s">
        <v>3471</v>
      </c>
      <c r="P2614" s="4">
        <v>297</v>
      </c>
      <c r="Q2614" s="4" t="str">
        <f t="shared" si="128"/>
        <v>商洛市</v>
      </c>
      <c r="R2614" s="4">
        <f t="shared" si="126"/>
        <v>27</v>
      </c>
      <c r="S2614" s="4" t="str">
        <f t="shared" si="127"/>
        <v>陕西省</v>
      </c>
    </row>
    <row r="2615" spans="14:19">
      <c r="N2615" s="4">
        <v>2614</v>
      </c>
      <c r="O2615" s="4" t="s">
        <v>3472</v>
      </c>
      <c r="P2615" s="4">
        <v>297</v>
      </c>
      <c r="Q2615" s="4" t="str">
        <f t="shared" si="128"/>
        <v>商洛市</v>
      </c>
      <c r="R2615" s="4">
        <f t="shared" si="126"/>
        <v>27</v>
      </c>
      <c r="S2615" s="4" t="str">
        <f t="shared" si="127"/>
        <v>陕西省</v>
      </c>
    </row>
    <row r="2616" spans="14:19">
      <c r="N2616" s="4">
        <v>2615</v>
      </c>
      <c r="O2616" s="4" t="s">
        <v>3473</v>
      </c>
      <c r="P2616" s="4">
        <v>297</v>
      </c>
      <c r="Q2616" s="4" t="str">
        <f t="shared" si="128"/>
        <v>商洛市</v>
      </c>
      <c r="R2616" s="4">
        <f t="shared" si="126"/>
        <v>27</v>
      </c>
      <c r="S2616" s="4" t="str">
        <f t="shared" si="127"/>
        <v>陕西省</v>
      </c>
    </row>
    <row r="2617" spans="14:19">
      <c r="N2617" s="4">
        <v>2616</v>
      </c>
      <c r="O2617" s="4" t="s">
        <v>3474</v>
      </c>
      <c r="P2617" s="4">
        <v>297</v>
      </c>
      <c r="Q2617" s="4" t="str">
        <f t="shared" si="128"/>
        <v>商洛市</v>
      </c>
      <c r="R2617" s="4">
        <f t="shared" si="126"/>
        <v>27</v>
      </c>
      <c r="S2617" s="4" t="str">
        <f t="shared" si="127"/>
        <v>陕西省</v>
      </c>
    </row>
    <row r="2618" spans="14:19">
      <c r="N2618" s="4">
        <v>2617</v>
      </c>
      <c r="O2618" s="4" t="s">
        <v>3475</v>
      </c>
      <c r="P2618" s="4">
        <v>297</v>
      </c>
      <c r="Q2618" s="4" t="str">
        <f t="shared" si="128"/>
        <v>商洛市</v>
      </c>
      <c r="R2618" s="4">
        <f t="shared" si="126"/>
        <v>27</v>
      </c>
      <c r="S2618" s="4" t="str">
        <f t="shared" si="127"/>
        <v>陕西省</v>
      </c>
    </row>
    <row r="2619" spans="14:19">
      <c r="N2619" s="4">
        <v>2618</v>
      </c>
      <c r="O2619" s="4" t="s">
        <v>3298</v>
      </c>
      <c r="P2619" s="4">
        <v>298</v>
      </c>
      <c r="Q2619" s="4" t="str">
        <f t="shared" si="128"/>
        <v>兰州市</v>
      </c>
      <c r="R2619" s="4">
        <f t="shared" si="126"/>
        <v>28</v>
      </c>
      <c r="S2619" s="4" t="str">
        <f t="shared" si="127"/>
        <v>甘肃省</v>
      </c>
    </row>
    <row r="2620" spans="14:19">
      <c r="N2620" s="4">
        <v>2619</v>
      </c>
      <c r="O2620" s="4" t="s">
        <v>3476</v>
      </c>
      <c r="P2620" s="4">
        <v>298</v>
      </c>
      <c r="Q2620" s="4" t="str">
        <f t="shared" si="128"/>
        <v>兰州市</v>
      </c>
      <c r="R2620" s="4">
        <f t="shared" si="126"/>
        <v>28</v>
      </c>
      <c r="S2620" s="4" t="str">
        <f t="shared" si="127"/>
        <v>甘肃省</v>
      </c>
    </row>
    <row r="2621" spans="14:19">
      <c r="N2621" s="4">
        <v>2620</v>
      </c>
      <c r="O2621" s="4" t="s">
        <v>3477</v>
      </c>
      <c r="P2621" s="4">
        <v>298</v>
      </c>
      <c r="Q2621" s="4" t="str">
        <f t="shared" si="128"/>
        <v>兰州市</v>
      </c>
      <c r="R2621" s="4">
        <f t="shared" si="126"/>
        <v>28</v>
      </c>
      <c r="S2621" s="4" t="str">
        <f t="shared" si="127"/>
        <v>甘肃省</v>
      </c>
    </row>
    <row r="2622" spans="14:19">
      <c r="N2622" s="4">
        <v>2621</v>
      </c>
      <c r="O2622" s="4" t="s">
        <v>3478</v>
      </c>
      <c r="P2622" s="4">
        <v>298</v>
      </c>
      <c r="Q2622" s="4" t="str">
        <f t="shared" si="128"/>
        <v>兰州市</v>
      </c>
      <c r="R2622" s="4">
        <f t="shared" si="126"/>
        <v>28</v>
      </c>
      <c r="S2622" s="4" t="str">
        <f t="shared" si="127"/>
        <v>甘肃省</v>
      </c>
    </row>
    <row r="2623" spans="14:19">
      <c r="N2623" s="4">
        <v>2622</v>
      </c>
      <c r="O2623" s="4" t="s">
        <v>3479</v>
      </c>
      <c r="P2623" s="4">
        <v>298</v>
      </c>
      <c r="Q2623" s="4" t="str">
        <f t="shared" si="128"/>
        <v>兰州市</v>
      </c>
      <c r="R2623" s="4">
        <f t="shared" si="126"/>
        <v>28</v>
      </c>
      <c r="S2623" s="4" t="str">
        <f t="shared" si="127"/>
        <v>甘肃省</v>
      </c>
    </row>
    <row r="2624" spans="14:19">
      <c r="N2624" s="4">
        <v>2623</v>
      </c>
      <c r="O2624" s="4" t="s">
        <v>3480</v>
      </c>
      <c r="P2624" s="4">
        <v>298</v>
      </c>
      <c r="Q2624" s="4" t="str">
        <f t="shared" si="128"/>
        <v>兰州市</v>
      </c>
      <c r="R2624" s="4">
        <f t="shared" si="126"/>
        <v>28</v>
      </c>
      <c r="S2624" s="4" t="str">
        <f t="shared" si="127"/>
        <v>甘肃省</v>
      </c>
    </row>
    <row r="2625" spans="14:19">
      <c r="N2625" s="4">
        <v>2624</v>
      </c>
      <c r="O2625" s="4" t="s">
        <v>3481</v>
      </c>
      <c r="P2625" s="4">
        <v>298</v>
      </c>
      <c r="Q2625" s="4" t="str">
        <f t="shared" si="128"/>
        <v>兰州市</v>
      </c>
      <c r="R2625" s="4">
        <f t="shared" si="126"/>
        <v>28</v>
      </c>
      <c r="S2625" s="4" t="str">
        <f t="shared" si="127"/>
        <v>甘肃省</v>
      </c>
    </row>
    <row r="2626" spans="14:19">
      <c r="N2626" s="4">
        <v>2625</v>
      </c>
      <c r="O2626" s="4" t="s">
        <v>3482</v>
      </c>
      <c r="P2626" s="4">
        <v>298</v>
      </c>
      <c r="Q2626" s="4" t="str">
        <f t="shared" si="128"/>
        <v>兰州市</v>
      </c>
      <c r="R2626" s="4">
        <f t="shared" ref="R2626:R2689" si="129">VLOOKUP(P2626,$I$2:$M$346,3,FALSE)</f>
        <v>28</v>
      </c>
      <c r="S2626" s="4" t="str">
        <f t="shared" ref="S2626:S2689" si="130">VLOOKUP(P2626,$I$2:$M$346,4,FALSE)</f>
        <v>甘肃省</v>
      </c>
    </row>
    <row r="2627" spans="14:19">
      <c r="N2627" s="4">
        <v>2626</v>
      </c>
      <c r="O2627" s="4" t="s">
        <v>3483</v>
      </c>
      <c r="P2627" s="4">
        <v>300</v>
      </c>
      <c r="Q2627" s="4" t="str">
        <f t="shared" ref="Q2627:Q2690" si="131">VLOOKUP(P2627,$I$2:$J$346,2,FALSE)</f>
        <v>金昌市</v>
      </c>
      <c r="R2627" s="4">
        <f t="shared" si="129"/>
        <v>28</v>
      </c>
      <c r="S2627" s="4" t="str">
        <f t="shared" si="130"/>
        <v>甘肃省</v>
      </c>
    </row>
    <row r="2628" spans="14:19">
      <c r="N2628" s="4">
        <v>2627</v>
      </c>
      <c r="O2628" s="4" t="s">
        <v>3484</v>
      </c>
      <c r="P2628" s="4">
        <v>300</v>
      </c>
      <c r="Q2628" s="4" t="str">
        <f t="shared" si="131"/>
        <v>金昌市</v>
      </c>
      <c r="R2628" s="4">
        <f t="shared" si="129"/>
        <v>28</v>
      </c>
      <c r="S2628" s="4" t="str">
        <f t="shared" si="130"/>
        <v>甘肃省</v>
      </c>
    </row>
    <row r="2629" spans="14:19">
      <c r="N2629" s="4">
        <v>2628</v>
      </c>
      <c r="O2629" s="4" t="s">
        <v>3485</v>
      </c>
      <c r="P2629" s="4">
        <v>301</v>
      </c>
      <c r="Q2629" s="4" t="str">
        <f t="shared" si="131"/>
        <v>白银市</v>
      </c>
      <c r="R2629" s="4">
        <f t="shared" si="129"/>
        <v>28</v>
      </c>
      <c r="S2629" s="4" t="str">
        <f t="shared" si="130"/>
        <v>甘肃省</v>
      </c>
    </row>
    <row r="2630" spans="14:19">
      <c r="N2630" s="4">
        <v>2629</v>
      </c>
      <c r="O2630" s="4" t="s">
        <v>3486</v>
      </c>
      <c r="P2630" s="4">
        <v>301</v>
      </c>
      <c r="Q2630" s="4" t="str">
        <f t="shared" si="131"/>
        <v>白银市</v>
      </c>
      <c r="R2630" s="4">
        <f t="shared" si="129"/>
        <v>28</v>
      </c>
      <c r="S2630" s="4" t="str">
        <f t="shared" si="130"/>
        <v>甘肃省</v>
      </c>
    </row>
    <row r="2631" spans="14:19">
      <c r="N2631" s="4">
        <v>2630</v>
      </c>
      <c r="O2631" s="4" t="s">
        <v>3487</v>
      </c>
      <c r="P2631" s="4">
        <v>301</v>
      </c>
      <c r="Q2631" s="4" t="str">
        <f t="shared" si="131"/>
        <v>白银市</v>
      </c>
      <c r="R2631" s="4">
        <f t="shared" si="129"/>
        <v>28</v>
      </c>
      <c r="S2631" s="4" t="str">
        <f t="shared" si="130"/>
        <v>甘肃省</v>
      </c>
    </row>
    <row r="2632" spans="14:19">
      <c r="N2632" s="4">
        <v>2631</v>
      </c>
      <c r="O2632" s="4" t="s">
        <v>3488</v>
      </c>
      <c r="P2632" s="4">
        <v>301</v>
      </c>
      <c r="Q2632" s="4" t="str">
        <f t="shared" si="131"/>
        <v>白银市</v>
      </c>
      <c r="R2632" s="4">
        <f t="shared" si="129"/>
        <v>28</v>
      </c>
      <c r="S2632" s="4" t="str">
        <f t="shared" si="130"/>
        <v>甘肃省</v>
      </c>
    </row>
    <row r="2633" spans="14:19">
      <c r="N2633" s="4">
        <v>2632</v>
      </c>
      <c r="O2633" s="4" t="s">
        <v>3489</v>
      </c>
      <c r="P2633" s="4">
        <v>301</v>
      </c>
      <c r="Q2633" s="4" t="str">
        <f t="shared" si="131"/>
        <v>白银市</v>
      </c>
      <c r="R2633" s="4">
        <f t="shared" si="129"/>
        <v>28</v>
      </c>
      <c r="S2633" s="4" t="str">
        <f t="shared" si="130"/>
        <v>甘肃省</v>
      </c>
    </row>
    <row r="2634" spans="14:19">
      <c r="N2634" s="4">
        <v>2633</v>
      </c>
      <c r="O2634" s="4" t="s">
        <v>3490</v>
      </c>
      <c r="P2634" s="4">
        <v>302</v>
      </c>
      <c r="Q2634" s="4" t="str">
        <f t="shared" si="131"/>
        <v>天水市</v>
      </c>
      <c r="R2634" s="4">
        <f t="shared" si="129"/>
        <v>28</v>
      </c>
      <c r="S2634" s="4" t="str">
        <f t="shared" si="130"/>
        <v>甘肃省</v>
      </c>
    </row>
    <row r="2635" spans="14:19">
      <c r="N2635" s="4">
        <v>2634</v>
      </c>
      <c r="O2635" s="4" t="s">
        <v>3491</v>
      </c>
      <c r="P2635" s="4">
        <v>302</v>
      </c>
      <c r="Q2635" s="4" t="str">
        <f t="shared" si="131"/>
        <v>天水市</v>
      </c>
      <c r="R2635" s="4">
        <f t="shared" si="129"/>
        <v>28</v>
      </c>
      <c r="S2635" s="4" t="str">
        <f t="shared" si="130"/>
        <v>甘肃省</v>
      </c>
    </row>
    <row r="2636" spans="14:19">
      <c r="N2636" s="4">
        <v>2635</v>
      </c>
      <c r="O2636" s="4" t="s">
        <v>3492</v>
      </c>
      <c r="P2636" s="4">
        <v>302</v>
      </c>
      <c r="Q2636" s="4" t="str">
        <f t="shared" si="131"/>
        <v>天水市</v>
      </c>
      <c r="R2636" s="4">
        <f t="shared" si="129"/>
        <v>28</v>
      </c>
      <c r="S2636" s="4" t="str">
        <f t="shared" si="130"/>
        <v>甘肃省</v>
      </c>
    </row>
    <row r="2637" spans="14:19">
      <c r="N2637" s="4">
        <v>2636</v>
      </c>
      <c r="O2637" s="4" t="s">
        <v>3493</v>
      </c>
      <c r="P2637" s="4">
        <v>302</v>
      </c>
      <c r="Q2637" s="4" t="str">
        <f t="shared" si="131"/>
        <v>天水市</v>
      </c>
      <c r="R2637" s="4">
        <f t="shared" si="129"/>
        <v>28</v>
      </c>
      <c r="S2637" s="4" t="str">
        <f t="shared" si="130"/>
        <v>甘肃省</v>
      </c>
    </row>
    <row r="2638" spans="14:19">
      <c r="N2638" s="4">
        <v>2637</v>
      </c>
      <c r="O2638" s="4" t="s">
        <v>3494</v>
      </c>
      <c r="P2638" s="4">
        <v>302</v>
      </c>
      <c r="Q2638" s="4" t="str">
        <f t="shared" si="131"/>
        <v>天水市</v>
      </c>
      <c r="R2638" s="4">
        <f t="shared" si="129"/>
        <v>28</v>
      </c>
      <c r="S2638" s="4" t="str">
        <f t="shared" si="130"/>
        <v>甘肃省</v>
      </c>
    </row>
    <row r="2639" spans="14:19">
      <c r="N2639" s="4">
        <v>2638</v>
      </c>
      <c r="O2639" s="4" t="s">
        <v>3495</v>
      </c>
      <c r="P2639" s="4">
        <v>302</v>
      </c>
      <c r="Q2639" s="4" t="str">
        <f t="shared" si="131"/>
        <v>天水市</v>
      </c>
      <c r="R2639" s="4">
        <f t="shared" si="129"/>
        <v>28</v>
      </c>
      <c r="S2639" s="4" t="str">
        <f t="shared" si="130"/>
        <v>甘肃省</v>
      </c>
    </row>
    <row r="2640" spans="14:19">
      <c r="N2640" s="4">
        <v>2639</v>
      </c>
      <c r="O2640" s="4" t="s">
        <v>3496</v>
      </c>
      <c r="P2640" s="4">
        <v>302</v>
      </c>
      <c r="Q2640" s="4" t="str">
        <f t="shared" si="131"/>
        <v>天水市</v>
      </c>
      <c r="R2640" s="4">
        <f t="shared" si="129"/>
        <v>28</v>
      </c>
      <c r="S2640" s="4" t="str">
        <f t="shared" si="130"/>
        <v>甘肃省</v>
      </c>
    </row>
    <row r="2641" spans="14:19">
      <c r="N2641" s="4">
        <v>2640</v>
      </c>
      <c r="O2641" s="4" t="s">
        <v>3497</v>
      </c>
      <c r="P2641" s="4">
        <v>303</v>
      </c>
      <c r="Q2641" s="4" t="str">
        <f t="shared" si="131"/>
        <v>武威市</v>
      </c>
      <c r="R2641" s="4">
        <f t="shared" si="129"/>
        <v>28</v>
      </c>
      <c r="S2641" s="4" t="str">
        <f t="shared" si="130"/>
        <v>甘肃省</v>
      </c>
    </row>
    <row r="2642" spans="14:19">
      <c r="N2642" s="4">
        <v>2641</v>
      </c>
      <c r="O2642" s="4" t="s">
        <v>3498</v>
      </c>
      <c r="P2642" s="4">
        <v>303</v>
      </c>
      <c r="Q2642" s="4" t="str">
        <f t="shared" si="131"/>
        <v>武威市</v>
      </c>
      <c r="R2642" s="4">
        <f t="shared" si="129"/>
        <v>28</v>
      </c>
      <c r="S2642" s="4" t="str">
        <f t="shared" si="130"/>
        <v>甘肃省</v>
      </c>
    </row>
    <row r="2643" spans="14:19">
      <c r="N2643" s="4">
        <v>2642</v>
      </c>
      <c r="O2643" s="4" t="s">
        <v>3499</v>
      </c>
      <c r="P2643" s="4">
        <v>303</v>
      </c>
      <c r="Q2643" s="4" t="str">
        <f t="shared" si="131"/>
        <v>武威市</v>
      </c>
      <c r="R2643" s="4">
        <f t="shared" si="129"/>
        <v>28</v>
      </c>
      <c r="S2643" s="4" t="str">
        <f t="shared" si="130"/>
        <v>甘肃省</v>
      </c>
    </row>
    <row r="2644" spans="14:19">
      <c r="N2644" s="4">
        <v>2643</v>
      </c>
      <c r="O2644" s="4" t="s">
        <v>3500</v>
      </c>
      <c r="P2644" s="4">
        <v>303</v>
      </c>
      <c r="Q2644" s="4" t="str">
        <f t="shared" si="131"/>
        <v>武威市</v>
      </c>
      <c r="R2644" s="4">
        <f t="shared" si="129"/>
        <v>28</v>
      </c>
      <c r="S2644" s="4" t="str">
        <f t="shared" si="130"/>
        <v>甘肃省</v>
      </c>
    </row>
    <row r="2645" spans="14:19">
      <c r="N2645" s="4">
        <v>2644</v>
      </c>
      <c r="O2645" s="4" t="s">
        <v>3501</v>
      </c>
      <c r="P2645" s="4">
        <v>304</v>
      </c>
      <c r="Q2645" s="4" t="str">
        <f t="shared" si="131"/>
        <v>张掖市</v>
      </c>
      <c r="R2645" s="4">
        <f t="shared" si="129"/>
        <v>28</v>
      </c>
      <c r="S2645" s="4" t="str">
        <f t="shared" si="130"/>
        <v>甘肃省</v>
      </c>
    </row>
    <row r="2646" spans="14:19">
      <c r="N2646" s="4">
        <v>2645</v>
      </c>
      <c r="O2646" s="4" t="s">
        <v>3502</v>
      </c>
      <c r="P2646" s="4">
        <v>304</v>
      </c>
      <c r="Q2646" s="4" t="str">
        <f t="shared" si="131"/>
        <v>张掖市</v>
      </c>
      <c r="R2646" s="4">
        <f t="shared" si="129"/>
        <v>28</v>
      </c>
      <c r="S2646" s="4" t="str">
        <f t="shared" si="130"/>
        <v>甘肃省</v>
      </c>
    </row>
    <row r="2647" spans="14:19">
      <c r="N2647" s="4">
        <v>2646</v>
      </c>
      <c r="O2647" s="4" t="s">
        <v>3503</v>
      </c>
      <c r="P2647" s="4">
        <v>304</v>
      </c>
      <c r="Q2647" s="4" t="str">
        <f t="shared" si="131"/>
        <v>张掖市</v>
      </c>
      <c r="R2647" s="4">
        <f t="shared" si="129"/>
        <v>28</v>
      </c>
      <c r="S2647" s="4" t="str">
        <f t="shared" si="130"/>
        <v>甘肃省</v>
      </c>
    </row>
    <row r="2648" spans="14:19">
      <c r="N2648" s="4">
        <v>2647</v>
      </c>
      <c r="O2648" s="4" t="s">
        <v>3504</v>
      </c>
      <c r="P2648" s="4">
        <v>304</v>
      </c>
      <c r="Q2648" s="4" t="str">
        <f t="shared" si="131"/>
        <v>张掖市</v>
      </c>
      <c r="R2648" s="4">
        <f t="shared" si="129"/>
        <v>28</v>
      </c>
      <c r="S2648" s="4" t="str">
        <f t="shared" si="130"/>
        <v>甘肃省</v>
      </c>
    </row>
    <row r="2649" spans="14:19">
      <c r="N2649" s="4">
        <v>2648</v>
      </c>
      <c r="O2649" s="4" t="s">
        <v>3505</v>
      </c>
      <c r="P2649" s="4">
        <v>304</v>
      </c>
      <c r="Q2649" s="4" t="str">
        <f t="shared" si="131"/>
        <v>张掖市</v>
      </c>
      <c r="R2649" s="4">
        <f t="shared" si="129"/>
        <v>28</v>
      </c>
      <c r="S2649" s="4" t="str">
        <f t="shared" si="130"/>
        <v>甘肃省</v>
      </c>
    </row>
    <row r="2650" spans="14:19">
      <c r="N2650" s="4">
        <v>2649</v>
      </c>
      <c r="O2650" s="4" t="s">
        <v>3506</v>
      </c>
      <c r="P2650" s="4">
        <v>304</v>
      </c>
      <c r="Q2650" s="4" t="str">
        <f t="shared" si="131"/>
        <v>张掖市</v>
      </c>
      <c r="R2650" s="4">
        <f t="shared" si="129"/>
        <v>28</v>
      </c>
      <c r="S2650" s="4" t="str">
        <f t="shared" si="130"/>
        <v>甘肃省</v>
      </c>
    </row>
    <row r="2651" spans="14:19">
      <c r="N2651" s="4">
        <v>2650</v>
      </c>
      <c r="O2651" s="4" t="s">
        <v>3507</v>
      </c>
      <c r="P2651" s="4">
        <v>305</v>
      </c>
      <c r="Q2651" s="4" t="str">
        <f t="shared" si="131"/>
        <v>平凉市</v>
      </c>
      <c r="R2651" s="4">
        <f t="shared" si="129"/>
        <v>28</v>
      </c>
      <c r="S2651" s="4" t="str">
        <f t="shared" si="130"/>
        <v>甘肃省</v>
      </c>
    </row>
    <row r="2652" spans="14:19">
      <c r="N2652" s="4">
        <v>2651</v>
      </c>
      <c r="O2652" s="4" t="s">
        <v>3508</v>
      </c>
      <c r="P2652" s="4">
        <v>305</v>
      </c>
      <c r="Q2652" s="4" t="str">
        <f t="shared" si="131"/>
        <v>平凉市</v>
      </c>
      <c r="R2652" s="4">
        <f t="shared" si="129"/>
        <v>28</v>
      </c>
      <c r="S2652" s="4" t="str">
        <f t="shared" si="130"/>
        <v>甘肃省</v>
      </c>
    </row>
    <row r="2653" spans="14:19">
      <c r="N2653" s="4">
        <v>2652</v>
      </c>
      <c r="O2653" s="4" t="s">
        <v>3509</v>
      </c>
      <c r="P2653" s="4">
        <v>305</v>
      </c>
      <c r="Q2653" s="4" t="str">
        <f t="shared" si="131"/>
        <v>平凉市</v>
      </c>
      <c r="R2653" s="4">
        <f t="shared" si="129"/>
        <v>28</v>
      </c>
      <c r="S2653" s="4" t="str">
        <f t="shared" si="130"/>
        <v>甘肃省</v>
      </c>
    </row>
    <row r="2654" spans="14:19">
      <c r="N2654" s="4">
        <v>2653</v>
      </c>
      <c r="O2654" s="4" t="s">
        <v>3510</v>
      </c>
      <c r="P2654" s="4">
        <v>305</v>
      </c>
      <c r="Q2654" s="4" t="str">
        <f t="shared" si="131"/>
        <v>平凉市</v>
      </c>
      <c r="R2654" s="4">
        <f t="shared" si="129"/>
        <v>28</v>
      </c>
      <c r="S2654" s="4" t="str">
        <f t="shared" si="130"/>
        <v>甘肃省</v>
      </c>
    </row>
    <row r="2655" spans="14:19">
      <c r="N2655" s="4">
        <v>2654</v>
      </c>
      <c r="O2655" s="4" t="s">
        <v>3511</v>
      </c>
      <c r="P2655" s="4">
        <v>305</v>
      </c>
      <c r="Q2655" s="4" t="str">
        <f t="shared" si="131"/>
        <v>平凉市</v>
      </c>
      <c r="R2655" s="4">
        <f t="shared" si="129"/>
        <v>28</v>
      </c>
      <c r="S2655" s="4" t="str">
        <f t="shared" si="130"/>
        <v>甘肃省</v>
      </c>
    </row>
    <row r="2656" spans="14:19">
      <c r="N2656" s="4">
        <v>2655</v>
      </c>
      <c r="O2656" s="4" t="s">
        <v>3512</v>
      </c>
      <c r="P2656" s="4">
        <v>305</v>
      </c>
      <c r="Q2656" s="4" t="str">
        <f t="shared" si="131"/>
        <v>平凉市</v>
      </c>
      <c r="R2656" s="4">
        <f t="shared" si="129"/>
        <v>28</v>
      </c>
      <c r="S2656" s="4" t="str">
        <f t="shared" si="130"/>
        <v>甘肃省</v>
      </c>
    </row>
    <row r="2657" spans="14:19">
      <c r="N2657" s="4">
        <v>2656</v>
      </c>
      <c r="O2657" s="4" t="s">
        <v>3513</v>
      </c>
      <c r="P2657" s="4">
        <v>305</v>
      </c>
      <c r="Q2657" s="4" t="str">
        <f t="shared" si="131"/>
        <v>平凉市</v>
      </c>
      <c r="R2657" s="4">
        <f t="shared" si="129"/>
        <v>28</v>
      </c>
      <c r="S2657" s="4" t="str">
        <f t="shared" si="130"/>
        <v>甘肃省</v>
      </c>
    </row>
    <row r="2658" spans="14:19">
      <c r="N2658" s="4">
        <v>2657</v>
      </c>
      <c r="O2658" s="4" t="s">
        <v>3514</v>
      </c>
      <c r="P2658" s="4">
        <v>306</v>
      </c>
      <c r="Q2658" s="4" t="str">
        <f t="shared" si="131"/>
        <v>酒泉市</v>
      </c>
      <c r="R2658" s="4">
        <f t="shared" si="129"/>
        <v>28</v>
      </c>
      <c r="S2658" s="4" t="str">
        <f t="shared" si="130"/>
        <v>甘肃省</v>
      </c>
    </row>
    <row r="2659" spans="14:19">
      <c r="N2659" s="4">
        <v>2658</v>
      </c>
      <c r="O2659" s="4" t="s">
        <v>3515</v>
      </c>
      <c r="P2659" s="4">
        <v>306</v>
      </c>
      <c r="Q2659" s="4" t="str">
        <f t="shared" si="131"/>
        <v>酒泉市</v>
      </c>
      <c r="R2659" s="4">
        <f t="shared" si="129"/>
        <v>28</v>
      </c>
      <c r="S2659" s="4" t="str">
        <f t="shared" si="130"/>
        <v>甘肃省</v>
      </c>
    </row>
    <row r="2660" spans="14:19">
      <c r="N2660" s="4">
        <v>2659</v>
      </c>
      <c r="O2660" s="4" t="s">
        <v>3516</v>
      </c>
      <c r="P2660" s="4">
        <v>306</v>
      </c>
      <c r="Q2660" s="4" t="str">
        <f t="shared" si="131"/>
        <v>酒泉市</v>
      </c>
      <c r="R2660" s="4">
        <f t="shared" si="129"/>
        <v>28</v>
      </c>
      <c r="S2660" s="4" t="str">
        <f t="shared" si="130"/>
        <v>甘肃省</v>
      </c>
    </row>
    <row r="2661" spans="14:19">
      <c r="N2661" s="4">
        <v>2660</v>
      </c>
      <c r="O2661" s="4" t="s">
        <v>3517</v>
      </c>
      <c r="P2661" s="4">
        <v>306</v>
      </c>
      <c r="Q2661" s="4" t="str">
        <f t="shared" si="131"/>
        <v>酒泉市</v>
      </c>
      <c r="R2661" s="4">
        <f t="shared" si="129"/>
        <v>28</v>
      </c>
      <c r="S2661" s="4" t="str">
        <f t="shared" si="130"/>
        <v>甘肃省</v>
      </c>
    </row>
    <row r="2662" spans="14:19">
      <c r="N2662" s="4">
        <v>2661</v>
      </c>
      <c r="O2662" s="4" t="s">
        <v>3518</v>
      </c>
      <c r="P2662" s="4">
        <v>306</v>
      </c>
      <c r="Q2662" s="4" t="str">
        <f t="shared" si="131"/>
        <v>酒泉市</v>
      </c>
      <c r="R2662" s="4">
        <f t="shared" si="129"/>
        <v>28</v>
      </c>
      <c r="S2662" s="4" t="str">
        <f t="shared" si="130"/>
        <v>甘肃省</v>
      </c>
    </row>
    <row r="2663" spans="14:19">
      <c r="N2663" s="4">
        <v>2662</v>
      </c>
      <c r="O2663" s="4" t="s">
        <v>3519</v>
      </c>
      <c r="P2663" s="4">
        <v>306</v>
      </c>
      <c r="Q2663" s="4" t="str">
        <f t="shared" si="131"/>
        <v>酒泉市</v>
      </c>
      <c r="R2663" s="4">
        <f t="shared" si="129"/>
        <v>28</v>
      </c>
      <c r="S2663" s="4" t="str">
        <f t="shared" si="130"/>
        <v>甘肃省</v>
      </c>
    </row>
    <row r="2664" spans="14:19">
      <c r="N2664" s="4">
        <v>2663</v>
      </c>
      <c r="O2664" s="4" t="s">
        <v>3520</v>
      </c>
      <c r="P2664" s="4">
        <v>306</v>
      </c>
      <c r="Q2664" s="4" t="str">
        <f t="shared" si="131"/>
        <v>酒泉市</v>
      </c>
      <c r="R2664" s="4">
        <f t="shared" si="129"/>
        <v>28</v>
      </c>
      <c r="S2664" s="4" t="str">
        <f t="shared" si="130"/>
        <v>甘肃省</v>
      </c>
    </row>
    <row r="2665" spans="14:19">
      <c r="N2665" s="4">
        <v>2664</v>
      </c>
      <c r="O2665" s="4" t="s">
        <v>3521</v>
      </c>
      <c r="P2665" s="4">
        <v>307</v>
      </c>
      <c r="Q2665" s="4" t="str">
        <f t="shared" si="131"/>
        <v>庆阳市</v>
      </c>
      <c r="R2665" s="4">
        <f t="shared" si="129"/>
        <v>28</v>
      </c>
      <c r="S2665" s="4" t="str">
        <f t="shared" si="130"/>
        <v>甘肃省</v>
      </c>
    </row>
    <row r="2666" spans="14:19">
      <c r="N2666" s="4">
        <v>2665</v>
      </c>
      <c r="O2666" s="4" t="s">
        <v>3522</v>
      </c>
      <c r="P2666" s="4">
        <v>307</v>
      </c>
      <c r="Q2666" s="4" t="str">
        <f t="shared" si="131"/>
        <v>庆阳市</v>
      </c>
      <c r="R2666" s="4">
        <f t="shared" si="129"/>
        <v>28</v>
      </c>
      <c r="S2666" s="4" t="str">
        <f t="shared" si="130"/>
        <v>甘肃省</v>
      </c>
    </row>
    <row r="2667" spans="14:19">
      <c r="N2667" s="4">
        <v>2666</v>
      </c>
      <c r="O2667" s="4" t="s">
        <v>3523</v>
      </c>
      <c r="P2667" s="4">
        <v>307</v>
      </c>
      <c r="Q2667" s="4" t="str">
        <f t="shared" si="131"/>
        <v>庆阳市</v>
      </c>
      <c r="R2667" s="4">
        <f t="shared" si="129"/>
        <v>28</v>
      </c>
      <c r="S2667" s="4" t="str">
        <f t="shared" si="130"/>
        <v>甘肃省</v>
      </c>
    </row>
    <row r="2668" spans="14:19">
      <c r="N2668" s="4">
        <v>2667</v>
      </c>
      <c r="O2668" s="4" t="s">
        <v>3524</v>
      </c>
      <c r="P2668" s="4">
        <v>307</v>
      </c>
      <c r="Q2668" s="4" t="str">
        <f t="shared" si="131"/>
        <v>庆阳市</v>
      </c>
      <c r="R2668" s="4">
        <f t="shared" si="129"/>
        <v>28</v>
      </c>
      <c r="S2668" s="4" t="str">
        <f t="shared" si="130"/>
        <v>甘肃省</v>
      </c>
    </row>
    <row r="2669" spans="14:19">
      <c r="N2669" s="4">
        <v>2668</v>
      </c>
      <c r="O2669" s="4" t="s">
        <v>3525</v>
      </c>
      <c r="P2669" s="4">
        <v>307</v>
      </c>
      <c r="Q2669" s="4" t="str">
        <f t="shared" si="131"/>
        <v>庆阳市</v>
      </c>
      <c r="R2669" s="4">
        <f t="shared" si="129"/>
        <v>28</v>
      </c>
      <c r="S2669" s="4" t="str">
        <f t="shared" si="130"/>
        <v>甘肃省</v>
      </c>
    </row>
    <row r="2670" spans="14:19">
      <c r="N2670" s="4">
        <v>2669</v>
      </c>
      <c r="O2670" s="4" t="s">
        <v>3526</v>
      </c>
      <c r="P2670" s="4">
        <v>307</v>
      </c>
      <c r="Q2670" s="4" t="str">
        <f t="shared" si="131"/>
        <v>庆阳市</v>
      </c>
      <c r="R2670" s="4">
        <f t="shared" si="129"/>
        <v>28</v>
      </c>
      <c r="S2670" s="4" t="str">
        <f t="shared" si="130"/>
        <v>甘肃省</v>
      </c>
    </row>
    <row r="2671" spans="14:19">
      <c r="N2671" s="4">
        <v>2670</v>
      </c>
      <c r="O2671" s="4" t="s">
        <v>3527</v>
      </c>
      <c r="P2671" s="4">
        <v>307</v>
      </c>
      <c r="Q2671" s="4" t="str">
        <f t="shared" si="131"/>
        <v>庆阳市</v>
      </c>
      <c r="R2671" s="4">
        <f t="shared" si="129"/>
        <v>28</v>
      </c>
      <c r="S2671" s="4" t="str">
        <f t="shared" si="130"/>
        <v>甘肃省</v>
      </c>
    </row>
    <row r="2672" spans="14:19">
      <c r="N2672" s="4">
        <v>2671</v>
      </c>
      <c r="O2672" s="4" t="s">
        <v>3528</v>
      </c>
      <c r="P2672" s="4">
        <v>307</v>
      </c>
      <c r="Q2672" s="4" t="str">
        <f t="shared" si="131"/>
        <v>庆阳市</v>
      </c>
      <c r="R2672" s="4">
        <f t="shared" si="129"/>
        <v>28</v>
      </c>
      <c r="S2672" s="4" t="str">
        <f t="shared" si="130"/>
        <v>甘肃省</v>
      </c>
    </row>
    <row r="2673" spans="14:19">
      <c r="N2673" s="4">
        <v>2672</v>
      </c>
      <c r="O2673" s="4" t="s">
        <v>3529</v>
      </c>
      <c r="P2673" s="4">
        <v>308</v>
      </c>
      <c r="Q2673" s="4" t="str">
        <f t="shared" si="131"/>
        <v>定西市</v>
      </c>
      <c r="R2673" s="4">
        <f t="shared" si="129"/>
        <v>28</v>
      </c>
      <c r="S2673" s="4" t="str">
        <f t="shared" si="130"/>
        <v>甘肃省</v>
      </c>
    </row>
    <row r="2674" spans="14:19">
      <c r="N2674" s="4">
        <v>2673</v>
      </c>
      <c r="O2674" s="4" t="s">
        <v>3530</v>
      </c>
      <c r="P2674" s="4">
        <v>308</v>
      </c>
      <c r="Q2674" s="4" t="str">
        <f t="shared" si="131"/>
        <v>定西市</v>
      </c>
      <c r="R2674" s="4">
        <f t="shared" si="129"/>
        <v>28</v>
      </c>
      <c r="S2674" s="4" t="str">
        <f t="shared" si="130"/>
        <v>甘肃省</v>
      </c>
    </row>
    <row r="2675" spans="14:19">
      <c r="N2675" s="4">
        <v>2674</v>
      </c>
      <c r="O2675" s="4" t="s">
        <v>3531</v>
      </c>
      <c r="P2675" s="4">
        <v>308</v>
      </c>
      <c r="Q2675" s="4" t="str">
        <f t="shared" si="131"/>
        <v>定西市</v>
      </c>
      <c r="R2675" s="4">
        <f t="shared" si="129"/>
        <v>28</v>
      </c>
      <c r="S2675" s="4" t="str">
        <f t="shared" si="130"/>
        <v>甘肃省</v>
      </c>
    </row>
    <row r="2676" spans="14:19">
      <c r="N2676" s="4">
        <v>2675</v>
      </c>
      <c r="O2676" s="4" t="s">
        <v>3532</v>
      </c>
      <c r="P2676" s="4">
        <v>308</v>
      </c>
      <c r="Q2676" s="4" t="str">
        <f t="shared" si="131"/>
        <v>定西市</v>
      </c>
      <c r="R2676" s="4">
        <f t="shared" si="129"/>
        <v>28</v>
      </c>
      <c r="S2676" s="4" t="str">
        <f t="shared" si="130"/>
        <v>甘肃省</v>
      </c>
    </row>
    <row r="2677" spans="14:19">
      <c r="N2677" s="4">
        <v>2676</v>
      </c>
      <c r="O2677" s="4" t="s">
        <v>3533</v>
      </c>
      <c r="P2677" s="4">
        <v>308</v>
      </c>
      <c r="Q2677" s="4" t="str">
        <f t="shared" si="131"/>
        <v>定西市</v>
      </c>
      <c r="R2677" s="4">
        <f t="shared" si="129"/>
        <v>28</v>
      </c>
      <c r="S2677" s="4" t="str">
        <f t="shared" si="130"/>
        <v>甘肃省</v>
      </c>
    </row>
    <row r="2678" spans="14:19">
      <c r="N2678" s="4">
        <v>2677</v>
      </c>
      <c r="O2678" s="4" t="s">
        <v>3534</v>
      </c>
      <c r="P2678" s="4">
        <v>308</v>
      </c>
      <c r="Q2678" s="4" t="str">
        <f t="shared" si="131"/>
        <v>定西市</v>
      </c>
      <c r="R2678" s="4">
        <f t="shared" si="129"/>
        <v>28</v>
      </c>
      <c r="S2678" s="4" t="str">
        <f t="shared" si="130"/>
        <v>甘肃省</v>
      </c>
    </row>
    <row r="2679" spans="14:19">
      <c r="N2679" s="4">
        <v>2678</v>
      </c>
      <c r="O2679" s="4" t="s">
        <v>3535</v>
      </c>
      <c r="P2679" s="4">
        <v>308</v>
      </c>
      <c r="Q2679" s="4" t="str">
        <f t="shared" si="131"/>
        <v>定西市</v>
      </c>
      <c r="R2679" s="4">
        <f t="shared" si="129"/>
        <v>28</v>
      </c>
      <c r="S2679" s="4" t="str">
        <f t="shared" si="130"/>
        <v>甘肃省</v>
      </c>
    </row>
    <row r="2680" spans="14:19">
      <c r="N2680" s="4">
        <v>2679</v>
      </c>
      <c r="O2680" s="4" t="s">
        <v>3536</v>
      </c>
      <c r="P2680" s="4">
        <v>309</v>
      </c>
      <c r="Q2680" s="4" t="str">
        <f t="shared" si="131"/>
        <v>陇南市</v>
      </c>
      <c r="R2680" s="4">
        <f t="shared" si="129"/>
        <v>28</v>
      </c>
      <c r="S2680" s="4" t="str">
        <f t="shared" si="130"/>
        <v>甘肃省</v>
      </c>
    </row>
    <row r="2681" spans="14:19">
      <c r="N2681" s="4">
        <v>2680</v>
      </c>
      <c r="O2681" s="4" t="s">
        <v>3537</v>
      </c>
      <c r="P2681" s="4">
        <v>309</v>
      </c>
      <c r="Q2681" s="4" t="str">
        <f t="shared" si="131"/>
        <v>陇南市</v>
      </c>
      <c r="R2681" s="4">
        <f t="shared" si="129"/>
        <v>28</v>
      </c>
      <c r="S2681" s="4" t="str">
        <f t="shared" si="130"/>
        <v>甘肃省</v>
      </c>
    </row>
    <row r="2682" spans="14:19">
      <c r="N2682" s="4">
        <v>2681</v>
      </c>
      <c r="O2682" s="4" t="s">
        <v>3538</v>
      </c>
      <c r="P2682" s="4">
        <v>309</v>
      </c>
      <c r="Q2682" s="4" t="str">
        <f t="shared" si="131"/>
        <v>陇南市</v>
      </c>
      <c r="R2682" s="4">
        <f t="shared" si="129"/>
        <v>28</v>
      </c>
      <c r="S2682" s="4" t="str">
        <f t="shared" si="130"/>
        <v>甘肃省</v>
      </c>
    </row>
    <row r="2683" spans="14:19">
      <c r="N2683" s="4">
        <v>2682</v>
      </c>
      <c r="O2683" s="4" t="s">
        <v>3539</v>
      </c>
      <c r="P2683" s="4">
        <v>309</v>
      </c>
      <c r="Q2683" s="4" t="str">
        <f t="shared" si="131"/>
        <v>陇南市</v>
      </c>
      <c r="R2683" s="4">
        <f t="shared" si="129"/>
        <v>28</v>
      </c>
      <c r="S2683" s="4" t="str">
        <f t="shared" si="130"/>
        <v>甘肃省</v>
      </c>
    </row>
    <row r="2684" spans="14:19">
      <c r="N2684" s="4">
        <v>2683</v>
      </c>
      <c r="O2684" s="4" t="s">
        <v>3540</v>
      </c>
      <c r="P2684" s="4">
        <v>309</v>
      </c>
      <c r="Q2684" s="4" t="str">
        <f t="shared" si="131"/>
        <v>陇南市</v>
      </c>
      <c r="R2684" s="4">
        <f t="shared" si="129"/>
        <v>28</v>
      </c>
      <c r="S2684" s="4" t="str">
        <f t="shared" si="130"/>
        <v>甘肃省</v>
      </c>
    </row>
    <row r="2685" spans="14:19">
      <c r="N2685" s="4">
        <v>2684</v>
      </c>
      <c r="O2685" s="4" t="s">
        <v>3541</v>
      </c>
      <c r="P2685" s="4">
        <v>309</v>
      </c>
      <c r="Q2685" s="4" t="str">
        <f t="shared" si="131"/>
        <v>陇南市</v>
      </c>
      <c r="R2685" s="4">
        <f t="shared" si="129"/>
        <v>28</v>
      </c>
      <c r="S2685" s="4" t="str">
        <f t="shared" si="130"/>
        <v>甘肃省</v>
      </c>
    </row>
    <row r="2686" spans="14:19">
      <c r="N2686" s="4">
        <v>2685</v>
      </c>
      <c r="O2686" s="4" t="s">
        <v>3542</v>
      </c>
      <c r="P2686" s="4">
        <v>309</v>
      </c>
      <c r="Q2686" s="4" t="str">
        <f t="shared" si="131"/>
        <v>陇南市</v>
      </c>
      <c r="R2686" s="4">
        <f t="shared" si="129"/>
        <v>28</v>
      </c>
      <c r="S2686" s="4" t="str">
        <f t="shared" si="130"/>
        <v>甘肃省</v>
      </c>
    </row>
    <row r="2687" spans="14:19">
      <c r="N2687" s="4">
        <v>2686</v>
      </c>
      <c r="O2687" s="4" t="s">
        <v>3543</v>
      </c>
      <c r="P2687" s="4">
        <v>309</v>
      </c>
      <c r="Q2687" s="4" t="str">
        <f t="shared" si="131"/>
        <v>陇南市</v>
      </c>
      <c r="R2687" s="4">
        <f t="shared" si="129"/>
        <v>28</v>
      </c>
      <c r="S2687" s="4" t="str">
        <f t="shared" si="130"/>
        <v>甘肃省</v>
      </c>
    </row>
    <row r="2688" spans="14:19">
      <c r="N2688" s="4">
        <v>2687</v>
      </c>
      <c r="O2688" s="4" t="s">
        <v>3544</v>
      </c>
      <c r="P2688" s="4">
        <v>309</v>
      </c>
      <c r="Q2688" s="4" t="str">
        <f t="shared" si="131"/>
        <v>陇南市</v>
      </c>
      <c r="R2688" s="4">
        <f t="shared" si="129"/>
        <v>28</v>
      </c>
      <c r="S2688" s="4" t="str">
        <f t="shared" si="130"/>
        <v>甘肃省</v>
      </c>
    </row>
    <row r="2689" spans="14:19">
      <c r="N2689" s="4">
        <v>2688</v>
      </c>
      <c r="O2689" s="4" t="s">
        <v>3545</v>
      </c>
      <c r="P2689" s="4">
        <v>310</v>
      </c>
      <c r="Q2689" s="4" t="str">
        <f t="shared" si="131"/>
        <v>临夏回族自治州</v>
      </c>
      <c r="R2689" s="4">
        <f t="shared" si="129"/>
        <v>28</v>
      </c>
      <c r="S2689" s="4" t="str">
        <f t="shared" si="130"/>
        <v>甘肃省</v>
      </c>
    </row>
    <row r="2690" spans="14:19">
      <c r="N2690" s="4">
        <v>2689</v>
      </c>
      <c r="O2690" s="4" t="s">
        <v>3546</v>
      </c>
      <c r="P2690" s="4">
        <v>310</v>
      </c>
      <c r="Q2690" s="4" t="str">
        <f t="shared" si="131"/>
        <v>临夏回族自治州</v>
      </c>
      <c r="R2690" s="4">
        <f t="shared" ref="R2690:R2753" si="132">VLOOKUP(P2690,$I$2:$M$346,3,FALSE)</f>
        <v>28</v>
      </c>
      <c r="S2690" s="4" t="str">
        <f t="shared" ref="S2690:S2753" si="133">VLOOKUP(P2690,$I$2:$M$346,4,FALSE)</f>
        <v>甘肃省</v>
      </c>
    </row>
    <row r="2691" spans="14:19">
      <c r="N2691" s="4">
        <v>2690</v>
      </c>
      <c r="O2691" s="4" t="s">
        <v>3547</v>
      </c>
      <c r="P2691" s="4">
        <v>310</v>
      </c>
      <c r="Q2691" s="4" t="str">
        <f t="shared" ref="Q2691:Q2754" si="134">VLOOKUP(P2691,$I$2:$J$346,2,FALSE)</f>
        <v>临夏回族自治州</v>
      </c>
      <c r="R2691" s="4">
        <f t="shared" si="132"/>
        <v>28</v>
      </c>
      <c r="S2691" s="4" t="str">
        <f t="shared" si="133"/>
        <v>甘肃省</v>
      </c>
    </row>
    <row r="2692" spans="14:19">
      <c r="N2692" s="4">
        <v>2691</v>
      </c>
      <c r="O2692" s="4" t="s">
        <v>3548</v>
      </c>
      <c r="P2692" s="4">
        <v>310</v>
      </c>
      <c r="Q2692" s="4" t="str">
        <f t="shared" si="134"/>
        <v>临夏回族自治州</v>
      </c>
      <c r="R2692" s="4">
        <f t="shared" si="132"/>
        <v>28</v>
      </c>
      <c r="S2692" s="4" t="str">
        <f t="shared" si="133"/>
        <v>甘肃省</v>
      </c>
    </row>
    <row r="2693" spans="14:19">
      <c r="N2693" s="4">
        <v>2692</v>
      </c>
      <c r="O2693" s="4" t="s">
        <v>3549</v>
      </c>
      <c r="P2693" s="4">
        <v>310</v>
      </c>
      <c r="Q2693" s="4" t="str">
        <f t="shared" si="134"/>
        <v>临夏回族自治州</v>
      </c>
      <c r="R2693" s="4">
        <f t="shared" si="132"/>
        <v>28</v>
      </c>
      <c r="S2693" s="4" t="str">
        <f t="shared" si="133"/>
        <v>甘肃省</v>
      </c>
    </row>
    <row r="2694" spans="14:19">
      <c r="N2694" s="4">
        <v>2693</v>
      </c>
      <c r="O2694" s="4" t="s">
        <v>3550</v>
      </c>
      <c r="P2694" s="4">
        <v>310</v>
      </c>
      <c r="Q2694" s="4" t="str">
        <f t="shared" si="134"/>
        <v>临夏回族自治州</v>
      </c>
      <c r="R2694" s="4">
        <f t="shared" si="132"/>
        <v>28</v>
      </c>
      <c r="S2694" s="4" t="str">
        <f t="shared" si="133"/>
        <v>甘肃省</v>
      </c>
    </row>
    <row r="2695" spans="14:19">
      <c r="N2695" s="4">
        <v>2694</v>
      </c>
      <c r="O2695" s="4" t="s">
        <v>3551</v>
      </c>
      <c r="P2695" s="4">
        <v>310</v>
      </c>
      <c r="Q2695" s="4" t="str">
        <f t="shared" si="134"/>
        <v>临夏回族自治州</v>
      </c>
      <c r="R2695" s="4">
        <f t="shared" si="132"/>
        <v>28</v>
      </c>
      <c r="S2695" s="4" t="str">
        <f t="shared" si="133"/>
        <v>甘肃省</v>
      </c>
    </row>
    <row r="2696" spans="14:19">
      <c r="N2696" s="4">
        <v>2695</v>
      </c>
      <c r="O2696" s="4" t="s">
        <v>3552</v>
      </c>
      <c r="P2696" s="4">
        <v>310</v>
      </c>
      <c r="Q2696" s="4" t="str">
        <f t="shared" si="134"/>
        <v>临夏回族自治州</v>
      </c>
      <c r="R2696" s="4">
        <f t="shared" si="132"/>
        <v>28</v>
      </c>
      <c r="S2696" s="4" t="str">
        <f t="shared" si="133"/>
        <v>甘肃省</v>
      </c>
    </row>
    <row r="2697" spans="14:19">
      <c r="N2697" s="4">
        <v>2696</v>
      </c>
      <c r="O2697" s="4" t="s">
        <v>3553</v>
      </c>
      <c r="P2697" s="4">
        <v>311</v>
      </c>
      <c r="Q2697" s="4" t="str">
        <f t="shared" si="134"/>
        <v>甘南藏族自治州</v>
      </c>
      <c r="R2697" s="4">
        <f t="shared" si="132"/>
        <v>28</v>
      </c>
      <c r="S2697" s="4" t="str">
        <f t="shared" si="133"/>
        <v>甘肃省</v>
      </c>
    </row>
    <row r="2698" spans="14:19">
      <c r="N2698" s="4">
        <v>2697</v>
      </c>
      <c r="O2698" s="4" t="s">
        <v>3554</v>
      </c>
      <c r="P2698" s="4">
        <v>311</v>
      </c>
      <c r="Q2698" s="4" t="str">
        <f t="shared" si="134"/>
        <v>甘南藏族自治州</v>
      </c>
      <c r="R2698" s="4">
        <f t="shared" si="132"/>
        <v>28</v>
      </c>
      <c r="S2698" s="4" t="str">
        <f t="shared" si="133"/>
        <v>甘肃省</v>
      </c>
    </row>
    <row r="2699" spans="14:19">
      <c r="N2699" s="4">
        <v>2698</v>
      </c>
      <c r="O2699" s="4" t="s">
        <v>3555</v>
      </c>
      <c r="P2699" s="4">
        <v>311</v>
      </c>
      <c r="Q2699" s="4" t="str">
        <f t="shared" si="134"/>
        <v>甘南藏族自治州</v>
      </c>
      <c r="R2699" s="4">
        <f t="shared" si="132"/>
        <v>28</v>
      </c>
      <c r="S2699" s="4" t="str">
        <f t="shared" si="133"/>
        <v>甘肃省</v>
      </c>
    </row>
    <row r="2700" spans="14:19">
      <c r="N2700" s="4">
        <v>2699</v>
      </c>
      <c r="O2700" s="4" t="s">
        <v>3556</v>
      </c>
      <c r="P2700" s="4">
        <v>311</v>
      </c>
      <c r="Q2700" s="4" t="str">
        <f t="shared" si="134"/>
        <v>甘南藏族自治州</v>
      </c>
      <c r="R2700" s="4">
        <f t="shared" si="132"/>
        <v>28</v>
      </c>
      <c r="S2700" s="4" t="str">
        <f t="shared" si="133"/>
        <v>甘肃省</v>
      </c>
    </row>
    <row r="2701" spans="14:19">
      <c r="N2701" s="4">
        <v>2700</v>
      </c>
      <c r="O2701" s="4" t="s">
        <v>3557</v>
      </c>
      <c r="P2701" s="4">
        <v>311</v>
      </c>
      <c r="Q2701" s="4" t="str">
        <f t="shared" si="134"/>
        <v>甘南藏族自治州</v>
      </c>
      <c r="R2701" s="4">
        <f t="shared" si="132"/>
        <v>28</v>
      </c>
      <c r="S2701" s="4" t="str">
        <f t="shared" si="133"/>
        <v>甘肃省</v>
      </c>
    </row>
    <row r="2702" spans="14:19">
      <c r="N2702" s="4">
        <v>2701</v>
      </c>
      <c r="O2702" s="4" t="s">
        <v>3558</v>
      </c>
      <c r="P2702" s="4">
        <v>311</v>
      </c>
      <c r="Q2702" s="4" t="str">
        <f t="shared" si="134"/>
        <v>甘南藏族自治州</v>
      </c>
      <c r="R2702" s="4">
        <f t="shared" si="132"/>
        <v>28</v>
      </c>
      <c r="S2702" s="4" t="str">
        <f t="shared" si="133"/>
        <v>甘肃省</v>
      </c>
    </row>
    <row r="2703" spans="14:19">
      <c r="N2703" s="4">
        <v>2702</v>
      </c>
      <c r="O2703" s="4" t="s">
        <v>3559</v>
      </c>
      <c r="P2703" s="4">
        <v>311</v>
      </c>
      <c r="Q2703" s="4" t="str">
        <f t="shared" si="134"/>
        <v>甘南藏族自治州</v>
      </c>
      <c r="R2703" s="4">
        <f t="shared" si="132"/>
        <v>28</v>
      </c>
      <c r="S2703" s="4" t="str">
        <f t="shared" si="133"/>
        <v>甘肃省</v>
      </c>
    </row>
    <row r="2704" spans="14:19">
      <c r="N2704" s="4">
        <v>2703</v>
      </c>
      <c r="O2704" s="4" t="s">
        <v>3560</v>
      </c>
      <c r="P2704" s="4">
        <v>311</v>
      </c>
      <c r="Q2704" s="4" t="str">
        <f t="shared" si="134"/>
        <v>甘南藏族自治州</v>
      </c>
      <c r="R2704" s="4">
        <f t="shared" si="132"/>
        <v>28</v>
      </c>
      <c r="S2704" s="4" t="str">
        <f t="shared" si="133"/>
        <v>甘肃省</v>
      </c>
    </row>
    <row r="2705" spans="14:19">
      <c r="N2705" s="4">
        <v>2704</v>
      </c>
      <c r="O2705" s="4" t="s">
        <v>3561</v>
      </c>
      <c r="P2705" s="4">
        <v>312</v>
      </c>
      <c r="Q2705" s="4" t="str">
        <f t="shared" si="134"/>
        <v>西宁市</v>
      </c>
      <c r="R2705" s="4">
        <f t="shared" si="132"/>
        <v>29</v>
      </c>
      <c r="S2705" s="4" t="str">
        <f t="shared" si="133"/>
        <v>青海省</v>
      </c>
    </row>
    <row r="2706" spans="14:19">
      <c r="N2706" s="4">
        <v>2705</v>
      </c>
      <c r="O2706" s="4" t="s">
        <v>2748</v>
      </c>
      <c r="P2706" s="4">
        <v>312</v>
      </c>
      <c r="Q2706" s="4" t="str">
        <f t="shared" si="134"/>
        <v>西宁市</v>
      </c>
      <c r="R2706" s="4">
        <f t="shared" si="132"/>
        <v>29</v>
      </c>
      <c r="S2706" s="4" t="str">
        <f t="shared" si="133"/>
        <v>青海省</v>
      </c>
    </row>
    <row r="2707" spans="14:19">
      <c r="N2707" s="4">
        <v>2706</v>
      </c>
      <c r="O2707" s="4" t="s">
        <v>3562</v>
      </c>
      <c r="P2707" s="4">
        <v>312</v>
      </c>
      <c r="Q2707" s="4" t="str">
        <f t="shared" si="134"/>
        <v>西宁市</v>
      </c>
      <c r="R2707" s="4">
        <f t="shared" si="132"/>
        <v>29</v>
      </c>
      <c r="S2707" s="4" t="str">
        <f t="shared" si="133"/>
        <v>青海省</v>
      </c>
    </row>
    <row r="2708" spans="14:19">
      <c r="N2708" s="4">
        <v>2707</v>
      </c>
      <c r="O2708" s="4" t="s">
        <v>3563</v>
      </c>
      <c r="P2708" s="4">
        <v>312</v>
      </c>
      <c r="Q2708" s="4" t="str">
        <f t="shared" si="134"/>
        <v>西宁市</v>
      </c>
      <c r="R2708" s="4">
        <f t="shared" si="132"/>
        <v>29</v>
      </c>
      <c r="S2708" s="4" t="str">
        <f t="shared" si="133"/>
        <v>青海省</v>
      </c>
    </row>
    <row r="2709" spans="14:19">
      <c r="N2709" s="4">
        <v>2708</v>
      </c>
      <c r="O2709" s="4" t="s">
        <v>3564</v>
      </c>
      <c r="P2709" s="4">
        <v>312</v>
      </c>
      <c r="Q2709" s="4" t="str">
        <f t="shared" si="134"/>
        <v>西宁市</v>
      </c>
      <c r="R2709" s="4">
        <f t="shared" si="132"/>
        <v>29</v>
      </c>
      <c r="S2709" s="4" t="str">
        <f t="shared" si="133"/>
        <v>青海省</v>
      </c>
    </row>
    <row r="2710" spans="14:19">
      <c r="N2710" s="4">
        <v>2709</v>
      </c>
      <c r="O2710" s="4" t="s">
        <v>3565</v>
      </c>
      <c r="P2710" s="4">
        <v>312</v>
      </c>
      <c r="Q2710" s="4" t="str">
        <f t="shared" si="134"/>
        <v>西宁市</v>
      </c>
      <c r="R2710" s="4">
        <f t="shared" si="132"/>
        <v>29</v>
      </c>
      <c r="S2710" s="4" t="str">
        <f t="shared" si="133"/>
        <v>青海省</v>
      </c>
    </row>
    <row r="2711" spans="14:19">
      <c r="N2711" s="4">
        <v>2710</v>
      </c>
      <c r="O2711" s="4" t="s">
        <v>3566</v>
      </c>
      <c r="P2711" s="4">
        <v>312</v>
      </c>
      <c r="Q2711" s="4" t="str">
        <f t="shared" si="134"/>
        <v>西宁市</v>
      </c>
      <c r="R2711" s="4">
        <f t="shared" si="132"/>
        <v>29</v>
      </c>
      <c r="S2711" s="4" t="str">
        <f t="shared" si="133"/>
        <v>青海省</v>
      </c>
    </row>
    <row r="2712" spans="14:19">
      <c r="N2712" s="4">
        <v>2711</v>
      </c>
      <c r="O2712" s="4" t="s">
        <v>3567</v>
      </c>
      <c r="P2712" s="4">
        <v>313</v>
      </c>
      <c r="Q2712" s="4" t="str">
        <f t="shared" si="134"/>
        <v>海东地区</v>
      </c>
      <c r="R2712" s="4">
        <f t="shared" si="132"/>
        <v>29</v>
      </c>
      <c r="S2712" s="4" t="str">
        <f t="shared" si="133"/>
        <v>青海省</v>
      </c>
    </row>
    <row r="2713" spans="14:19">
      <c r="N2713" s="4">
        <v>2712</v>
      </c>
      <c r="O2713" s="4" t="s">
        <v>3568</v>
      </c>
      <c r="P2713" s="4">
        <v>313</v>
      </c>
      <c r="Q2713" s="4" t="str">
        <f t="shared" si="134"/>
        <v>海东地区</v>
      </c>
      <c r="R2713" s="4">
        <f t="shared" si="132"/>
        <v>29</v>
      </c>
      <c r="S2713" s="4" t="str">
        <f t="shared" si="133"/>
        <v>青海省</v>
      </c>
    </row>
    <row r="2714" spans="14:19">
      <c r="N2714" s="4">
        <v>2713</v>
      </c>
      <c r="O2714" s="4" t="s">
        <v>3569</v>
      </c>
      <c r="P2714" s="4">
        <v>313</v>
      </c>
      <c r="Q2714" s="4" t="str">
        <f t="shared" si="134"/>
        <v>海东地区</v>
      </c>
      <c r="R2714" s="4">
        <f t="shared" si="132"/>
        <v>29</v>
      </c>
      <c r="S2714" s="4" t="str">
        <f t="shared" si="133"/>
        <v>青海省</v>
      </c>
    </row>
    <row r="2715" spans="14:19">
      <c r="N2715" s="4">
        <v>2714</v>
      </c>
      <c r="O2715" s="4" t="s">
        <v>3570</v>
      </c>
      <c r="P2715" s="4">
        <v>313</v>
      </c>
      <c r="Q2715" s="4" t="str">
        <f t="shared" si="134"/>
        <v>海东地区</v>
      </c>
      <c r="R2715" s="4">
        <f t="shared" si="132"/>
        <v>29</v>
      </c>
      <c r="S2715" s="4" t="str">
        <f t="shared" si="133"/>
        <v>青海省</v>
      </c>
    </row>
    <row r="2716" spans="14:19">
      <c r="N2716" s="4">
        <v>2715</v>
      </c>
      <c r="O2716" s="4" t="s">
        <v>3571</v>
      </c>
      <c r="P2716" s="4">
        <v>313</v>
      </c>
      <c r="Q2716" s="4" t="str">
        <f t="shared" si="134"/>
        <v>海东地区</v>
      </c>
      <c r="R2716" s="4">
        <f t="shared" si="132"/>
        <v>29</v>
      </c>
      <c r="S2716" s="4" t="str">
        <f t="shared" si="133"/>
        <v>青海省</v>
      </c>
    </row>
    <row r="2717" spans="14:19">
      <c r="N2717" s="4">
        <v>2716</v>
      </c>
      <c r="O2717" s="4" t="s">
        <v>3572</v>
      </c>
      <c r="P2717" s="4">
        <v>313</v>
      </c>
      <c r="Q2717" s="4" t="str">
        <f t="shared" si="134"/>
        <v>海东地区</v>
      </c>
      <c r="R2717" s="4">
        <f t="shared" si="132"/>
        <v>29</v>
      </c>
      <c r="S2717" s="4" t="str">
        <f t="shared" si="133"/>
        <v>青海省</v>
      </c>
    </row>
    <row r="2718" spans="14:19">
      <c r="N2718" s="4">
        <v>2717</v>
      </c>
      <c r="O2718" s="4" t="s">
        <v>3573</v>
      </c>
      <c r="P2718" s="4">
        <v>314</v>
      </c>
      <c r="Q2718" s="4" t="str">
        <f t="shared" si="134"/>
        <v>海北藏族自治州</v>
      </c>
      <c r="R2718" s="4">
        <f t="shared" si="132"/>
        <v>29</v>
      </c>
      <c r="S2718" s="4" t="str">
        <f t="shared" si="133"/>
        <v>青海省</v>
      </c>
    </row>
    <row r="2719" spans="14:19">
      <c r="N2719" s="4">
        <v>2718</v>
      </c>
      <c r="O2719" s="4" t="s">
        <v>3574</v>
      </c>
      <c r="P2719" s="4">
        <v>314</v>
      </c>
      <c r="Q2719" s="4" t="str">
        <f t="shared" si="134"/>
        <v>海北藏族自治州</v>
      </c>
      <c r="R2719" s="4">
        <f t="shared" si="132"/>
        <v>29</v>
      </c>
      <c r="S2719" s="4" t="str">
        <f t="shared" si="133"/>
        <v>青海省</v>
      </c>
    </row>
    <row r="2720" spans="14:19">
      <c r="N2720" s="4">
        <v>2719</v>
      </c>
      <c r="O2720" s="4" t="s">
        <v>3575</v>
      </c>
      <c r="P2720" s="4">
        <v>314</v>
      </c>
      <c r="Q2720" s="4" t="str">
        <f t="shared" si="134"/>
        <v>海北藏族自治州</v>
      </c>
      <c r="R2720" s="4">
        <f t="shared" si="132"/>
        <v>29</v>
      </c>
      <c r="S2720" s="4" t="str">
        <f t="shared" si="133"/>
        <v>青海省</v>
      </c>
    </row>
    <row r="2721" spans="14:19">
      <c r="N2721" s="4">
        <v>2720</v>
      </c>
      <c r="O2721" s="4" t="s">
        <v>3576</v>
      </c>
      <c r="P2721" s="4">
        <v>314</v>
      </c>
      <c r="Q2721" s="4" t="str">
        <f t="shared" si="134"/>
        <v>海北藏族自治州</v>
      </c>
      <c r="R2721" s="4">
        <f t="shared" si="132"/>
        <v>29</v>
      </c>
      <c r="S2721" s="4" t="str">
        <f t="shared" si="133"/>
        <v>青海省</v>
      </c>
    </row>
    <row r="2722" spans="14:19">
      <c r="N2722" s="4">
        <v>2721</v>
      </c>
      <c r="O2722" s="4" t="s">
        <v>3577</v>
      </c>
      <c r="P2722" s="4">
        <v>315</v>
      </c>
      <c r="Q2722" s="4" t="str">
        <f t="shared" si="134"/>
        <v>黄南藏族自治州</v>
      </c>
      <c r="R2722" s="4">
        <f t="shared" si="132"/>
        <v>29</v>
      </c>
      <c r="S2722" s="4" t="str">
        <f t="shared" si="133"/>
        <v>青海省</v>
      </c>
    </row>
    <row r="2723" spans="14:19">
      <c r="N2723" s="4">
        <v>2722</v>
      </c>
      <c r="O2723" s="4" t="s">
        <v>3578</v>
      </c>
      <c r="P2723" s="4">
        <v>315</v>
      </c>
      <c r="Q2723" s="4" t="str">
        <f t="shared" si="134"/>
        <v>黄南藏族自治州</v>
      </c>
      <c r="R2723" s="4">
        <f t="shared" si="132"/>
        <v>29</v>
      </c>
      <c r="S2723" s="4" t="str">
        <f t="shared" si="133"/>
        <v>青海省</v>
      </c>
    </row>
    <row r="2724" spans="14:19">
      <c r="N2724" s="4">
        <v>2723</v>
      </c>
      <c r="O2724" s="4" t="s">
        <v>3579</v>
      </c>
      <c r="P2724" s="4">
        <v>315</v>
      </c>
      <c r="Q2724" s="4" t="str">
        <f t="shared" si="134"/>
        <v>黄南藏族自治州</v>
      </c>
      <c r="R2724" s="4">
        <f t="shared" si="132"/>
        <v>29</v>
      </c>
      <c r="S2724" s="4" t="str">
        <f t="shared" si="133"/>
        <v>青海省</v>
      </c>
    </row>
    <row r="2725" spans="14:19">
      <c r="N2725" s="4">
        <v>2724</v>
      </c>
      <c r="O2725" s="4" t="s">
        <v>3580</v>
      </c>
      <c r="P2725" s="4">
        <v>315</v>
      </c>
      <c r="Q2725" s="4" t="str">
        <f t="shared" si="134"/>
        <v>黄南藏族自治州</v>
      </c>
      <c r="R2725" s="4">
        <f t="shared" si="132"/>
        <v>29</v>
      </c>
      <c r="S2725" s="4" t="str">
        <f t="shared" si="133"/>
        <v>青海省</v>
      </c>
    </row>
    <row r="2726" spans="14:19">
      <c r="N2726" s="4">
        <v>2725</v>
      </c>
      <c r="O2726" s="4" t="s">
        <v>3581</v>
      </c>
      <c r="P2726" s="4">
        <v>316</v>
      </c>
      <c r="Q2726" s="4" t="str">
        <f t="shared" si="134"/>
        <v>海南藏族自治州</v>
      </c>
      <c r="R2726" s="4">
        <f t="shared" si="132"/>
        <v>29</v>
      </c>
      <c r="S2726" s="4" t="str">
        <f t="shared" si="133"/>
        <v>青海省</v>
      </c>
    </row>
    <row r="2727" spans="14:19">
      <c r="N2727" s="4">
        <v>2726</v>
      </c>
      <c r="O2727" s="4" t="s">
        <v>3582</v>
      </c>
      <c r="P2727" s="4">
        <v>316</v>
      </c>
      <c r="Q2727" s="4" t="str">
        <f t="shared" si="134"/>
        <v>海南藏族自治州</v>
      </c>
      <c r="R2727" s="4">
        <f t="shared" si="132"/>
        <v>29</v>
      </c>
      <c r="S2727" s="4" t="str">
        <f t="shared" si="133"/>
        <v>青海省</v>
      </c>
    </row>
    <row r="2728" spans="14:19">
      <c r="N2728" s="4">
        <v>2727</v>
      </c>
      <c r="O2728" s="4" t="s">
        <v>3583</v>
      </c>
      <c r="P2728" s="4">
        <v>316</v>
      </c>
      <c r="Q2728" s="4" t="str">
        <f t="shared" si="134"/>
        <v>海南藏族自治州</v>
      </c>
      <c r="R2728" s="4">
        <f t="shared" si="132"/>
        <v>29</v>
      </c>
      <c r="S2728" s="4" t="str">
        <f t="shared" si="133"/>
        <v>青海省</v>
      </c>
    </row>
    <row r="2729" spans="14:19">
      <c r="N2729" s="4">
        <v>2728</v>
      </c>
      <c r="O2729" s="4" t="s">
        <v>3584</v>
      </c>
      <c r="P2729" s="4">
        <v>316</v>
      </c>
      <c r="Q2729" s="4" t="str">
        <f t="shared" si="134"/>
        <v>海南藏族自治州</v>
      </c>
      <c r="R2729" s="4">
        <f t="shared" si="132"/>
        <v>29</v>
      </c>
      <c r="S2729" s="4" t="str">
        <f t="shared" si="133"/>
        <v>青海省</v>
      </c>
    </row>
    <row r="2730" spans="14:19">
      <c r="N2730" s="4">
        <v>2729</v>
      </c>
      <c r="O2730" s="4" t="s">
        <v>3585</v>
      </c>
      <c r="P2730" s="4">
        <v>316</v>
      </c>
      <c r="Q2730" s="4" t="str">
        <f t="shared" si="134"/>
        <v>海南藏族自治州</v>
      </c>
      <c r="R2730" s="4">
        <f t="shared" si="132"/>
        <v>29</v>
      </c>
      <c r="S2730" s="4" t="str">
        <f t="shared" si="133"/>
        <v>青海省</v>
      </c>
    </row>
    <row r="2731" spans="14:19">
      <c r="N2731" s="4">
        <v>2730</v>
      </c>
      <c r="O2731" s="4" t="s">
        <v>3586</v>
      </c>
      <c r="P2731" s="4">
        <v>317</v>
      </c>
      <c r="Q2731" s="4" t="str">
        <f t="shared" si="134"/>
        <v>果洛藏族自治州</v>
      </c>
      <c r="R2731" s="4">
        <f t="shared" si="132"/>
        <v>29</v>
      </c>
      <c r="S2731" s="4" t="str">
        <f t="shared" si="133"/>
        <v>青海省</v>
      </c>
    </row>
    <row r="2732" spans="14:19">
      <c r="N2732" s="4">
        <v>2731</v>
      </c>
      <c r="O2732" s="4" t="s">
        <v>3587</v>
      </c>
      <c r="P2732" s="4">
        <v>317</v>
      </c>
      <c r="Q2732" s="4" t="str">
        <f t="shared" si="134"/>
        <v>果洛藏族自治州</v>
      </c>
      <c r="R2732" s="4">
        <f t="shared" si="132"/>
        <v>29</v>
      </c>
      <c r="S2732" s="4" t="str">
        <f t="shared" si="133"/>
        <v>青海省</v>
      </c>
    </row>
    <row r="2733" spans="14:19">
      <c r="N2733" s="4">
        <v>2732</v>
      </c>
      <c r="O2733" s="4" t="s">
        <v>3588</v>
      </c>
      <c r="P2733" s="4">
        <v>317</v>
      </c>
      <c r="Q2733" s="4" t="str">
        <f t="shared" si="134"/>
        <v>果洛藏族自治州</v>
      </c>
      <c r="R2733" s="4">
        <f t="shared" si="132"/>
        <v>29</v>
      </c>
      <c r="S2733" s="4" t="str">
        <f t="shared" si="133"/>
        <v>青海省</v>
      </c>
    </row>
    <row r="2734" spans="14:19">
      <c r="N2734" s="4">
        <v>2733</v>
      </c>
      <c r="O2734" s="4" t="s">
        <v>3589</v>
      </c>
      <c r="P2734" s="4">
        <v>317</v>
      </c>
      <c r="Q2734" s="4" t="str">
        <f t="shared" si="134"/>
        <v>果洛藏族自治州</v>
      </c>
      <c r="R2734" s="4">
        <f t="shared" si="132"/>
        <v>29</v>
      </c>
      <c r="S2734" s="4" t="str">
        <f t="shared" si="133"/>
        <v>青海省</v>
      </c>
    </row>
    <row r="2735" spans="14:19">
      <c r="N2735" s="4">
        <v>2734</v>
      </c>
      <c r="O2735" s="4" t="s">
        <v>3590</v>
      </c>
      <c r="P2735" s="4">
        <v>317</v>
      </c>
      <c r="Q2735" s="4" t="str">
        <f t="shared" si="134"/>
        <v>果洛藏族自治州</v>
      </c>
      <c r="R2735" s="4">
        <f t="shared" si="132"/>
        <v>29</v>
      </c>
      <c r="S2735" s="4" t="str">
        <f t="shared" si="133"/>
        <v>青海省</v>
      </c>
    </row>
    <row r="2736" spans="14:19">
      <c r="N2736" s="4">
        <v>2735</v>
      </c>
      <c r="O2736" s="4" t="s">
        <v>3591</v>
      </c>
      <c r="P2736" s="4">
        <v>317</v>
      </c>
      <c r="Q2736" s="4" t="str">
        <f t="shared" si="134"/>
        <v>果洛藏族自治州</v>
      </c>
      <c r="R2736" s="4">
        <f t="shared" si="132"/>
        <v>29</v>
      </c>
      <c r="S2736" s="4" t="str">
        <f t="shared" si="133"/>
        <v>青海省</v>
      </c>
    </row>
    <row r="2737" spans="14:19">
      <c r="N2737" s="4">
        <v>2736</v>
      </c>
      <c r="O2737" s="4" t="s">
        <v>3592</v>
      </c>
      <c r="P2737" s="4">
        <v>318</v>
      </c>
      <c r="Q2737" s="4" t="str">
        <f t="shared" si="134"/>
        <v>玉树藏族自治州</v>
      </c>
      <c r="R2737" s="4">
        <f t="shared" si="132"/>
        <v>29</v>
      </c>
      <c r="S2737" s="4" t="str">
        <f t="shared" si="133"/>
        <v>青海省</v>
      </c>
    </row>
    <row r="2738" spans="14:19">
      <c r="N2738" s="4">
        <v>2737</v>
      </c>
      <c r="O2738" s="4" t="s">
        <v>3593</v>
      </c>
      <c r="P2738" s="4">
        <v>318</v>
      </c>
      <c r="Q2738" s="4" t="str">
        <f t="shared" si="134"/>
        <v>玉树藏族自治州</v>
      </c>
      <c r="R2738" s="4">
        <f t="shared" si="132"/>
        <v>29</v>
      </c>
      <c r="S2738" s="4" t="str">
        <f t="shared" si="133"/>
        <v>青海省</v>
      </c>
    </row>
    <row r="2739" spans="14:19">
      <c r="N2739" s="4">
        <v>2738</v>
      </c>
      <c r="O2739" s="4" t="s">
        <v>3594</v>
      </c>
      <c r="P2739" s="4">
        <v>318</v>
      </c>
      <c r="Q2739" s="4" t="str">
        <f t="shared" si="134"/>
        <v>玉树藏族自治州</v>
      </c>
      <c r="R2739" s="4">
        <f t="shared" si="132"/>
        <v>29</v>
      </c>
      <c r="S2739" s="4" t="str">
        <f t="shared" si="133"/>
        <v>青海省</v>
      </c>
    </row>
    <row r="2740" spans="14:19">
      <c r="N2740" s="4">
        <v>2739</v>
      </c>
      <c r="O2740" s="4" t="s">
        <v>3595</v>
      </c>
      <c r="P2740" s="4">
        <v>318</v>
      </c>
      <c r="Q2740" s="4" t="str">
        <f t="shared" si="134"/>
        <v>玉树藏族自治州</v>
      </c>
      <c r="R2740" s="4">
        <f t="shared" si="132"/>
        <v>29</v>
      </c>
      <c r="S2740" s="4" t="str">
        <f t="shared" si="133"/>
        <v>青海省</v>
      </c>
    </row>
    <row r="2741" spans="14:19">
      <c r="N2741" s="4">
        <v>2740</v>
      </c>
      <c r="O2741" s="4" t="s">
        <v>3596</v>
      </c>
      <c r="P2741" s="4">
        <v>318</v>
      </c>
      <c r="Q2741" s="4" t="str">
        <f t="shared" si="134"/>
        <v>玉树藏族自治州</v>
      </c>
      <c r="R2741" s="4">
        <f t="shared" si="132"/>
        <v>29</v>
      </c>
      <c r="S2741" s="4" t="str">
        <f t="shared" si="133"/>
        <v>青海省</v>
      </c>
    </row>
    <row r="2742" spans="14:19">
      <c r="N2742" s="4">
        <v>2741</v>
      </c>
      <c r="O2742" s="4" t="s">
        <v>3597</v>
      </c>
      <c r="P2742" s="4">
        <v>318</v>
      </c>
      <c r="Q2742" s="4" t="str">
        <f t="shared" si="134"/>
        <v>玉树藏族自治州</v>
      </c>
      <c r="R2742" s="4">
        <f t="shared" si="132"/>
        <v>29</v>
      </c>
      <c r="S2742" s="4" t="str">
        <f t="shared" si="133"/>
        <v>青海省</v>
      </c>
    </row>
    <row r="2743" spans="14:19">
      <c r="N2743" s="4">
        <v>2742</v>
      </c>
      <c r="O2743" s="4" t="s">
        <v>3598</v>
      </c>
      <c r="P2743" s="4">
        <v>319</v>
      </c>
      <c r="Q2743" s="4" t="str">
        <f t="shared" si="134"/>
        <v>海西蒙古族藏族自治州</v>
      </c>
      <c r="R2743" s="4">
        <f t="shared" si="132"/>
        <v>29</v>
      </c>
      <c r="S2743" s="4" t="str">
        <f t="shared" si="133"/>
        <v>青海省</v>
      </c>
    </row>
    <row r="2744" spans="14:19">
      <c r="N2744" s="4">
        <v>2743</v>
      </c>
      <c r="O2744" s="4" t="s">
        <v>3599</v>
      </c>
      <c r="P2744" s="4">
        <v>319</v>
      </c>
      <c r="Q2744" s="4" t="str">
        <f t="shared" si="134"/>
        <v>海西蒙古族藏族自治州</v>
      </c>
      <c r="R2744" s="4">
        <f t="shared" si="132"/>
        <v>29</v>
      </c>
      <c r="S2744" s="4" t="str">
        <f t="shared" si="133"/>
        <v>青海省</v>
      </c>
    </row>
    <row r="2745" spans="14:19">
      <c r="N2745" s="4">
        <v>2744</v>
      </c>
      <c r="O2745" s="4" t="s">
        <v>3600</v>
      </c>
      <c r="P2745" s="4">
        <v>319</v>
      </c>
      <c r="Q2745" s="4" t="str">
        <f t="shared" si="134"/>
        <v>海西蒙古族藏族自治州</v>
      </c>
      <c r="R2745" s="4">
        <f t="shared" si="132"/>
        <v>29</v>
      </c>
      <c r="S2745" s="4" t="str">
        <f t="shared" si="133"/>
        <v>青海省</v>
      </c>
    </row>
    <row r="2746" spans="14:19">
      <c r="N2746" s="4">
        <v>2745</v>
      </c>
      <c r="O2746" s="4" t="s">
        <v>3601</v>
      </c>
      <c r="P2746" s="4">
        <v>319</v>
      </c>
      <c r="Q2746" s="4" t="str">
        <f t="shared" si="134"/>
        <v>海西蒙古族藏族自治州</v>
      </c>
      <c r="R2746" s="4">
        <f t="shared" si="132"/>
        <v>29</v>
      </c>
      <c r="S2746" s="4" t="str">
        <f t="shared" si="133"/>
        <v>青海省</v>
      </c>
    </row>
    <row r="2747" spans="14:19">
      <c r="N2747" s="4">
        <v>2746</v>
      </c>
      <c r="O2747" s="4" t="s">
        <v>3602</v>
      </c>
      <c r="P2747" s="4">
        <v>319</v>
      </c>
      <c r="Q2747" s="4" t="str">
        <f t="shared" si="134"/>
        <v>海西蒙古族藏族自治州</v>
      </c>
      <c r="R2747" s="4">
        <f t="shared" si="132"/>
        <v>29</v>
      </c>
      <c r="S2747" s="4" t="str">
        <f t="shared" si="133"/>
        <v>青海省</v>
      </c>
    </row>
    <row r="2748" spans="14:19">
      <c r="N2748" s="4">
        <v>2747</v>
      </c>
      <c r="O2748" s="4" t="s">
        <v>3603</v>
      </c>
      <c r="P2748" s="4">
        <v>320</v>
      </c>
      <c r="Q2748" s="4" t="str">
        <f t="shared" si="134"/>
        <v>银川市</v>
      </c>
      <c r="R2748" s="4">
        <f t="shared" si="132"/>
        <v>30</v>
      </c>
      <c r="S2748" s="4" t="str">
        <f t="shared" si="133"/>
        <v>宁夏回族自治区</v>
      </c>
    </row>
    <row r="2749" spans="14:19">
      <c r="N2749" s="4">
        <v>2748</v>
      </c>
      <c r="O2749" s="4" t="s">
        <v>3604</v>
      </c>
      <c r="P2749" s="4">
        <v>320</v>
      </c>
      <c r="Q2749" s="4" t="str">
        <f t="shared" si="134"/>
        <v>银川市</v>
      </c>
      <c r="R2749" s="4">
        <f t="shared" si="132"/>
        <v>30</v>
      </c>
      <c r="S2749" s="4" t="str">
        <f t="shared" si="133"/>
        <v>宁夏回族自治区</v>
      </c>
    </row>
    <row r="2750" spans="14:19">
      <c r="N2750" s="4">
        <v>2749</v>
      </c>
      <c r="O2750" s="4" t="s">
        <v>3605</v>
      </c>
      <c r="P2750" s="4">
        <v>320</v>
      </c>
      <c r="Q2750" s="4" t="str">
        <f t="shared" si="134"/>
        <v>银川市</v>
      </c>
      <c r="R2750" s="4">
        <f t="shared" si="132"/>
        <v>30</v>
      </c>
      <c r="S2750" s="4" t="str">
        <f t="shared" si="133"/>
        <v>宁夏回族自治区</v>
      </c>
    </row>
    <row r="2751" spans="14:19">
      <c r="N2751" s="4">
        <v>2750</v>
      </c>
      <c r="O2751" s="4" t="s">
        <v>3606</v>
      </c>
      <c r="P2751" s="4">
        <v>320</v>
      </c>
      <c r="Q2751" s="4" t="str">
        <f t="shared" si="134"/>
        <v>银川市</v>
      </c>
      <c r="R2751" s="4">
        <f t="shared" si="132"/>
        <v>30</v>
      </c>
      <c r="S2751" s="4" t="str">
        <f t="shared" si="133"/>
        <v>宁夏回族自治区</v>
      </c>
    </row>
    <row r="2752" spans="14:19">
      <c r="N2752" s="4">
        <v>2751</v>
      </c>
      <c r="O2752" s="4" t="s">
        <v>3607</v>
      </c>
      <c r="P2752" s="4">
        <v>320</v>
      </c>
      <c r="Q2752" s="4" t="str">
        <f t="shared" si="134"/>
        <v>银川市</v>
      </c>
      <c r="R2752" s="4">
        <f t="shared" si="132"/>
        <v>30</v>
      </c>
      <c r="S2752" s="4" t="str">
        <f t="shared" si="133"/>
        <v>宁夏回族自治区</v>
      </c>
    </row>
    <row r="2753" spans="14:19">
      <c r="N2753" s="4">
        <v>2752</v>
      </c>
      <c r="O2753" s="4" t="s">
        <v>3608</v>
      </c>
      <c r="P2753" s="4">
        <v>320</v>
      </c>
      <c r="Q2753" s="4" t="str">
        <f t="shared" si="134"/>
        <v>银川市</v>
      </c>
      <c r="R2753" s="4">
        <f t="shared" si="132"/>
        <v>30</v>
      </c>
      <c r="S2753" s="4" t="str">
        <f t="shared" si="133"/>
        <v>宁夏回族自治区</v>
      </c>
    </row>
    <row r="2754" spans="14:19">
      <c r="N2754" s="4">
        <v>2753</v>
      </c>
      <c r="O2754" s="4" t="s">
        <v>3609</v>
      </c>
      <c r="P2754" s="4">
        <v>321</v>
      </c>
      <c r="Q2754" s="4" t="str">
        <f t="shared" si="134"/>
        <v>石嘴山市</v>
      </c>
      <c r="R2754" s="4">
        <f t="shared" ref="R2754:R2817" si="135">VLOOKUP(P2754,$I$2:$M$346,3,FALSE)</f>
        <v>30</v>
      </c>
      <c r="S2754" s="4" t="str">
        <f t="shared" ref="S2754:S2817" si="136">VLOOKUP(P2754,$I$2:$M$346,4,FALSE)</f>
        <v>宁夏回族自治区</v>
      </c>
    </row>
    <row r="2755" spans="14:19">
      <c r="N2755" s="4">
        <v>2754</v>
      </c>
      <c r="O2755" s="4" t="s">
        <v>3610</v>
      </c>
      <c r="P2755" s="4">
        <v>321</v>
      </c>
      <c r="Q2755" s="4" t="str">
        <f t="shared" ref="Q2755:Q2818" si="137">VLOOKUP(P2755,$I$2:$J$346,2,FALSE)</f>
        <v>石嘴山市</v>
      </c>
      <c r="R2755" s="4">
        <f t="shared" si="135"/>
        <v>30</v>
      </c>
      <c r="S2755" s="4" t="str">
        <f t="shared" si="136"/>
        <v>宁夏回族自治区</v>
      </c>
    </row>
    <row r="2756" spans="14:19">
      <c r="N2756" s="4">
        <v>2755</v>
      </c>
      <c r="O2756" s="4" t="s">
        <v>3611</v>
      </c>
      <c r="P2756" s="4">
        <v>321</v>
      </c>
      <c r="Q2756" s="4" t="str">
        <f t="shared" si="137"/>
        <v>石嘴山市</v>
      </c>
      <c r="R2756" s="4">
        <f t="shared" si="135"/>
        <v>30</v>
      </c>
      <c r="S2756" s="4" t="str">
        <f t="shared" si="136"/>
        <v>宁夏回族自治区</v>
      </c>
    </row>
    <row r="2757" spans="14:19">
      <c r="N2757" s="4">
        <v>2756</v>
      </c>
      <c r="O2757" s="4" t="s">
        <v>3612</v>
      </c>
      <c r="P2757" s="4">
        <v>322</v>
      </c>
      <c r="Q2757" s="4" t="str">
        <f t="shared" si="137"/>
        <v>吴忠市</v>
      </c>
      <c r="R2757" s="4">
        <f t="shared" si="135"/>
        <v>30</v>
      </c>
      <c r="S2757" s="4" t="str">
        <f t="shared" si="136"/>
        <v>宁夏回族自治区</v>
      </c>
    </row>
    <row r="2758" spans="14:19">
      <c r="N2758" s="4">
        <v>2757</v>
      </c>
      <c r="O2758" s="4" t="s">
        <v>3613</v>
      </c>
      <c r="P2758" s="4">
        <v>322</v>
      </c>
      <c r="Q2758" s="4" t="str">
        <f t="shared" si="137"/>
        <v>吴忠市</v>
      </c>
      <c r="R2758" s="4">
        <f t="shared" si="135"/>
        <v>30</v>
      </c>
      <c r="S2758" s="4" t="str">
        <f t="shared" si="136"/>
        <v>宁夏回族自治区</v>
      </c>
    </row>
    <row r="2759" spans="14:19">
      <c r="N2759" s="4">
        <v>2758</v>
      </c>
      <c r="O2759" s="4" t="s">
        <v>3614</v>
      </c>
      <c r="P2759" s="4">
        <v>322</v>
      </c>
      <c r="Q2759" s="4" t="str">
        <f t="shared" si="137"/>
        <v>吴忠市</v>
      </c>
      <c r="R2759" s="4">
        <f t="shared" si="135"/>
        <v>30</v>
      </c>
      <c r="S2759" s="4" t="str">
        <f t="shared" si="136"/>
        <v>宁夏回族自治区</v>
      </c>
    </row>
    <row r="2760" spans="14:19">
      <c r="N2760" s="4">
        <v>2759</v>
      </c>
      <c r="O2760" s="4" t="s">
        <v>3615</v>
      </c>
      <c r="P2760" s="4">
        <v>322</v>
      </c>
      <c r="Q2760" s="4" t="str">
        <f t="shared" si="137"/>
        <v>吴忠市</v>
      </c>
      <c r="R2760" s="4">
        <f t="shared" si="135"/>
        <v>30</v>
      </c>
      <c r="S2760" s="4" t="str">
        <f t="shared" si="136"/>
        <v>宁夏回族自治区</v>
      </c>
    </row>
    <row r="2761" spans="14:19">
      <c r="N2761" s="4">
        <v>2760</v>
      </c>
      <c r="O2761" s="4" t="s">
        <v>3616</v>
      </c>
      <c r="P2761" s="4">
        <v>323</v>
      </c>
      <c r="Q2761" s="4" t="str">
        <f t="shared" si="137"/>
        <v>固原市</v>
      </c>
      <c r="R2761" s="4">
        <f t="shared" si="135"/>
        <v>30</v>
      </c>
      <c r="S2761" s="4" t="str">
        <f t="shared" si="136"/>
        <v>宁夏回族自治区</v>
      </c>
    </row>
    <row r="2762" spans="14:19">
      <c r="N2762" s="4">
        <v>2761</v>
      </c>
      <c r="O2762" s="4" t="s">
        <v>3617</v>
      </c>
      <c r="P2762" s="4">
        <v>323</v>
      </c>
      <c r="Q2762" s="4" t="str">
        <f t="shared" si="137"/>
        <v>固原市</v>
      </c>
      <c r="R2762" s="4">
        <f t="shared" si="135"/>
        <v>30</v>
      </c>
      <c r="S2762" s="4" t="str">
        <f t="shared" si="136"/>
        <v>宁夏回族自治区</v>
      </c>
    </row>
    <row r="2763" spans="14:19">
      <c r="N2763" s="4">
        <v>2762</v>
      </c>
      <c r="O2763" s="4" t="s">
        <v>3618</v>
      </c>
      <c r="P2763" s="4">
        <v>323</v>
      </c>
      <c r="Q2763" s="4" t="str">
        <f t="shared" si="137"/>
        <v>固原市</v>
      </c>
      <c r="R2763" s="4">
        <f t="shared" si="135"/>
        <v>30</v>
      </c>
      <c r="S2763" s="4" t="str">
        <f t="shared" si="136"/>
        <v>宁夏回族自治区</v>
      </c>
    </row>
    <row r="2764" spans="14:19">
      <c r="N2764" s="4">
        <v>2763</v>
      </c>
      <c r="O2764" s="4" t="s">
        <v>3619</v>
      </c>
      <c r="P2764" s="4">
        <v>323</v>
      </c>
      <c r="Q2764" s="4" t="str">
        <f t="shared" si="137"/>
        <v>固原市</v>
      </c>
      <c r="R2764" s="4">
        <f t="shared" si="135"/>
        <v>30</v>
      </c>
      <c r="S2764" s="4" t="str">
        <f t="shared" si="136"/>
        <v>宁夏回族自治区</v>
      </c>
    </row>
    <row r="2765" spans="14:19">
      <c r="N2765" s="4">
        <v>2764</v>
      </c>
      <c r="O2765" s="4" t="s">
        <v>3620</v>
      </c>
      <c r="P2765" s="4">
        <v>323</v>
      </c>
      <c r="Q2765" s="4" t="str">
        <f t="shared" si="137"/>
        <v>固原市</v>
      </c>
      <c r="R2765" s="4">
        <f t="shared" si="135"/>
        <v>30</v>
      </c>
      <c r="S2765" s="4" t="str">
        <f t="shared" si="136"/>
        <v>宁夏回族自治区</v>
      </c>
    </row>
    <row r="2766" spans="14:19">
      <c r="N2766" s="4">
        <v>2765</v>
      </c>
      <c r="O2766" s="4" t="s">
        <v>3621</v>
      </c>
      <c r="P2766" s="4">
        <v>324</v>
      </c>
      <c r="Q2766" s="4" t="str">
        <f t="shared" si="137"/>
        <v>中卫市</v>
      </c>
      <c r="R2766" s="4">
        <f t="shared" si="135"/>
        <v>30</v>
      </c>
      <c r="S2766" s="4" t="str">
        <f t="shared" si="136"/>
        <v>宁夏回族自治区</v>
      </c>
    </row>
    <row r="2767" spans="14:19">
      <c r="N2767" s="4">
        <v>2766</v>
      </c>
      <c r="O2767" s="4" t="s">
        <v>3622</v>
      </c>
      <c r="P2767" s="4">
        <v>324</v>
      </c>
      <c r="Q2767" s="4" t="str">
        <f t="shared" si="137"/>
        <v>中卫市</v>
      </c>
      <c r="R2767" s="4">
        <f t="shared" si="135"/>
        <v>30</v>
      </c>
      <c r="S2767" s="4" t="str">
        <f t="shared" si="136"/>
        <v>宁夏回族自治区</v>
      </c>
    </row>
    <row r="2768" spans="14:19">
      <c r="N2768" s="4">
        <v>2767</v>
      </c>
      <c r="O2768" s="4" t="s">
        <v>3623</v>
      </c>
      <c r="P2768" s="4">
        <v>324</v>
      </c>
      <c r="Q2768" s="4" t="str">
        <f t="shared" si="137"/>
        <v>中卫市</v>
      </c>
      <c r="R2768" s="4">
        <f t="shared" si="135"/>
        <v>30</v>
      </c>
      <c r="S2768" s="4" t="str">
        <f t="shared" si="136"/>
        <v>宁夏回族自治区</v>
      </c>
    </row>
    <row r="2769" spans="14:19">
      <c r="N2769" s="4">
        <v>2768</v>
      </c>
      <c r="O2769" s="4" t="s">
        <v>3624</v>
      </c>
      <c r="P2769" s="4">
        <v>325</v>
      </c>
      <c r="Q2769" s="4" t="str">
        <f t="shared" si="137"/>
        <v>乌鲁木齐市</v>
      </c>
      <c r="R2769" s="4">
        <f t="shared" si="135"/>
        <v>31</v>
      </c>
      <c r="S2769" s="4" t="str">
        <f t="shared" si="136"/>
        <v>新疆维吾尔自治区</v>
      </c>
    </row>
    <row r="2770" spans="14:19">
      <c r="N2770" s="4">
        <v>2769</v>
      </c>
      <c r="O2770" s="4" t="s">
        <v>3625</v>
      </c>
      <c r="P2770" s="4">
        <v>325</v>
      </c>
      <c r="Q2770" s="4" t="str">
        <f t="shared" si="137"/>
        <v>乌鲁木齐市</v>
      </c>
      <c r="R2770" s="4">
        <f t="shared" si="135"/>
        <v>31</v>
      </c>
      <c r="S2770" s="4" t="str">
        <f t="shared" si="136"/>
        <v>新疆维吾尔自治区</v>
      </c>
    </row>
    <row r="2771" spans="14:19">
      <c r="N2771" s="4">
        <v>2770</v>
      </c>
      <c r="O2771" s="4" t="s">
        <v>581</v>
      </c>
      <c r="P2771" s="4">
        <v>325</v>
      </c>
      <c r="Q2771" s="4" t="str">
        <f t="shared" si="137"/>
        <v>乌鲁木齐市</v>
      </c>
      <c r="R2771" s="4">
        <f t="shared" si="135"/>
        <v>31</v>
      </c>
      <c r="S2771" s="4" t="str">
        <f t="shared" si="136"/>
        <v>新疆维吾尔自治区</v>
      </c>
    </row>
    <row r="2772" spans="14:19">
      <c r="N2772" s="4">
        <v>2771</v>
      </c>
      <c r="O2772" s="4" t="s">
        <v>3626</v>
      </c>
      <c r="P2772" s="4">
        <v>325</v>
      </c>
      <c r="Q2772" s="4" t="str">
        <f t="shared" si="137"/>
        <v>乌鲁木齐市</v>
      </c>
      <c r="R2772" s="4">
        <f t="shared" si="135"/>
        <v>31</v>
      </c>
      <c r="S2772" s="4" t="str">
        <f t="shared" si="136"/>
        <v>新疆维吾尔自治区</v>
      </c>
    </row>
    <row r="2773" spans="14:19">
      <c r="N2773" s="4">
        <v>2772</v>
      </c>
      <c r="O2773" s="4" t="s">
        <v>3627</v>
      </c>
      <c r="P2773" s="4">
        <v>325</v>
      </c>
      <c r="Q2773" s="4" t="str">
        <f t="shared" si="137"/>
        <v>乌鲁木齐市</v>
      </c>
      <c r="R2773" s="4">
        <f t="shared" si="135"/>
        <v>31</v>
      </c>
      <c r="S2773" s="4" t="str">
        <f t="shared" si="136"/>
        <v>新疆维吾尔自治区</v>
      </c>
    </row>
    <row r="2774" spans="14:19">
      <c r="N2774" s="4">
        <v>2773</v>
      </c>
      <c r="O2774" s="4" t="s">
        <v>3628</v>
      </c>
      <c r="P2774" s="4">
        <v>325</v>
      </c>
      <c r="Q2774" s="4" t="str">
        <f t="shared" si="137"/>
        <v>乌鲁木齐市</v>
      </c>
      <c r="R2774" s="4">
        <f t="shared" si="135"/>
        <v>31</v>
      </c>
      <c r="S2774" s="4" t="str">
        <f t="shared" si="136"/>
        <v>新疆维吾尔自治区</v>
      </c>
    </row>
    <row r="2775" spans="14:19">
      <c r="N2775" s="4">
        <v>2774</v>
      </c>
      <c r="O2775" s="4" t="s">
        <v>1528</v>
      </c>
      <c r="P2775" s="4">
        <v>325</v>
      </c>
      <c r="Q2775" s="4" t="str">
        <f t="shared" si="137"/>
        <v>乌鲁木齐市</v>
      </c>
      <c r="R2775" s="4">
        <f t="shared" si="135"/>
        <v>31</v>
      </c>
      <c r="S2775" s="4" t="str">
        <f t="shared" si="136"/>
        <v>新疆维吾尔自治区</v>
      </c>
    </row>
    <row r="2776" spans="14:19">
      <c r="N2776" s="4">
        <v>2775</v>
      </c>
      <c r="O2776" s="4" t="s">
        <v>3629</v>
      </c>
      <c r="P2776" s="4">
        <v>325</v>
      </c>
      <c r="Q2776" s="4" t="str">
        <f t="shared" si="137"/>
        <v>乌鲁木齐市</v>
      </c>
      <c r="R2776" s="4">
        <f t="shared" si="135"/>
        <v>31</v>
      </c>
      <c r="S2776" s="4" t="str">
        <f t="shared" si="136"/>
        <v>新疆维吾尔自治区</v>
      </c>
    </row>
    <row r="2777" spans="14:19">
      <c r="N2777" s="4">
        <v>2776</v>
      </c>
      <c r="O2777" s="4" t="s">
        <v>3630</v>
      </c>
      <c r="P2777" s="4">
        <v>326</v>
      </c>
      <c r="Q2777" s="4" t="str">
        <f t="shared" si="137"/>
        <v>克拉玛依市</v>
      </c>
      <c r="R2777" s="4">
        <f t="shared" si="135"/>
        <v>31</v>
      </c>
      <c r="S2777" s="4" t="str">
        <f t="shared" si="136"/>
        <v>新疆维吾尔自治区</v>
      </c>
    </row>
    <row r="2778" spans="14:19">
      <c r="N2778" s="4">
        <v>2777</v>
      </c>
      <c r="O2778" s="4" t="s">
        <v>3631</v>
      </c>
      <c r="P2778" s="4">
        <v>326</v>
      </c>
      <c r="Q2778" s="4" t="str">
        <f t="shared" si="137"/>
        <v>克拉玛依市</v>
      </c>
      <c r="R2778" s="4">
        <f t="shared" si="135"/>
        <v>31</v>
      </c>
      <c r="S2778" s="4" t="str">
        <f t="shared" si="136"/>
        <v>新疆维吾尔自治区</v>
      </c>
    </row>
    <row r="2779" spans="14:19">
      <c r="N2779" s="4">
        <v>2778</v>
      </c>
      <c r="O2779" s="4" t="s">
        <v>3632</v>
      </c>
      <c r="P2779" s="4">
        <v>326</v>
      </c>
      <c r="Q2779" s="4" t="str">
        <f t="shared" si="137"/>
        <v>克拉玛依市</v>
      </c>
      <c r="R2779" s="4">
        <f t="shared" si="135"/>
        <v>31</v>
      </c>
      <c r="S2779" s="4" t="str">
        <f t="shared" si="136"/>
        <v>新疆维吾尔自治区</v>
      </c>
    </row>
    <row r="2780" spans="14:19">
      <c r="N2780" s="4">
        <v>2779</v>
      </c>
      <c r="O2780" s="4" t="s">
        <v>3633</v>
      </c>
      <c r="P2780" s="4">
        <v>326</v>
      </c>
      <c r="Q2780" s="4" t="str">
        <f t="shared" si="137"/>
        <v>克拉玛依市</v>
      </c>
      <c r="R2780" s="4">
        <f t="shared" si="135"/>
        <v>31</v>
      </c>
      <c r="S2780" s="4" t="str">
        <f t="shared" si="136"/>
        <v>新疆维吾尔自治区</v>
      </c>
    </row>
    <row r="2781" spans="14:19">
      <c r="N2781" s="4">
        <v>2780</v>
      </c>
      <c r="O2781" s="4" t="s">
        <v>3634</v>
      </c>
      <c r="P2781" s="4">
        <v>327</v>
      </c>
      <c r="Q2781" s="4" t="str">
        <f t="shared" si="137"/>
        <v>吐鲁番地区</v>
      </c>
      <c r="R2781" s="4">
        <f t="shared" si="135"/>
        <v>31</v>
      </c>
      <c r="S2781" s="4" t="str">
        <f t="shared" si="136"/>
        <v>新疆维吾尔自治区</v>
      </c>
    </row>
    <row r="2782" spans="14:19">
      <c r="N2782" s="4">
        <v>2781</v>
      </c>
      <c r="O2782" s="4" t="s">
        <v>3635</v>
      </c>
      <c r="P2782" s="4">
        <v>327</v>
      </c>
      <c r="Q2782" s="4" t="str">
        <f t="shared" si="137"/>
        <v>吐鲁番地区</v>
      </c>
      <c r="R2782" s="4">
        <f t="shared" si="135"/>
        <v>31</v>
      </c>
      <c r="S2782" s="4" t="str">
        <f t="shared" si="136"/>
        <v>新疆维吾尔自治区</v>
      </c>
    </row>
    <row r="2783" spans="14:19">
      <c r="N2783" s="4">
        <v>2782</v>
      </c>
      <c r="O2783" s="4" t="s">
        <v>3636</v>
      </c>
      <c r="P2783" s="4">
        <v>327</v>
      </c>
      <c r="Q2783" s="4" t="str">
        <f t="shared" si="137"/>
        <v>吐鲁番地区</v>
      </c>
      <c r="R2783" s="4">
        <f t="shared" si="135"/>
        <v>31</v>
      </c>
      <c r="S2783" s="4" t="str">
        <f t="shared" si="136"/>
        <v>新疆维吾尔自治区</v>
      </c>
    </row>
    <row r="2784" spans="14:19">
      <c r="N2784" s="4">
        <v>2783</v>
      </c>
      <c r="O2784" s="4" t="s">
        <v>3637</v>
      </c>
      <c r="P2784" s="4">
        <v>328</v>
      </c>
      <c r="Q2784" s="4" t="str">
        <f t="shared" si="137"/>
        <v>哈密地区</v>
      </c>
      <c r="R2784" s="4">
        <f t="shared" si="135"/>
        <v>31</v>
      </c>
      <c r="S2784" s="4" t="str">
        <f t="shared" si="136"/>
        <v>新疆维吾尔自治区</v>
      </c>
    </row>
    <row r="2785" spans="14:19">
      <c r="N2785" s="4">
        <v>2784</v>
      </c>
      <c r="O2785" s="4" t="s">
        <v>3638</v>
      </c>
      <c r="P2785" s="4">
        <v>328</v>
      </c>
      <c r="Q2785" s="4" t="str">
        <f t="shared" si="137"/>
        <v>哈密地区</v>
      </c>
      <c r="R2785" s="4">
        <f t="shared" si="135"/>
        <v>31</v>
      </c>
      <c r="S2785" s="4" t="str">
        <f t="shared" si="136"/>
        <v>新疆维吾尔自治区</v>
      </c>
    </row>
    <row r="2786" spans="14:19">
      <c r="N2786" s="4">
        <v>2785</v>
      </c>
      <c r="O2786" s="4" t="s">
        <v>3639</v>
      </c>
      <c r="P2786" s="4">
        <v>328</v>
      </c>
      <c r="Q2786" s="4" t="str">
        <f t="shared" si="137"/>
        <v>哈密地区</v>
      </c>
      <c r="R2786" s="4">
        <f t="shared" si="135"/>
        <v>31</v>
      </c>
      <c r="S2786" s="4" t="str">
        <f t="shared" si="136"/>
        <v>新疆维吾尔自治区</v>
      </c>
    </row>
    <row r="2787" spans="14:19">
      <c r="N2787" s="4">
        <v>2786</v>
      </c>
      <c r="O2787" s="4" t="s">
        <v>3640</v>
      </c>
      <c r="P2787" s="4">
        <v>329</v>
      </c>
      <c r="Q2787" s="4" t="str">
        <f t="shared" si="137"/>
        <v>昌吉回族自治州</v>
      </c>
      <c r="R2787" s="4">
        <f t="shared" si="135"/>
        <v>31</v>
      </c>
      <c r="S2787" s="4" t="str">
        <f t="shared" si="136"/>
        <v>新疆维吾尔自治区</v>
      </c>
    </row>
    <row r="2788" spans="14:19">
      <c r="N2788" s="4">
        <v>2787</v>
      </c>
      <c r="O2788" s="4" t="s">
        <v>3641</v>
      </c>
      <c r="P2788" s="4">
        <v>329</v>
      </c>
      <c r="Q2788" s="4" t="str">
        <f t="shared" si="137"/>
        <v>昌吉回族自治州</v>
      </c>
      <c r="R2788" s="4">
        <f t="shared" si="135"/>
        <v>31</v>
      </c>
      <c r="S2788" s="4" t="str">
        <f t="shared" si="136"/>
        <v>新疆维吾尔自治区</v>
      </c>
    </row>
    <row r="2789" spans="14:19">
      <c r="N2789" s="4">
        <v>2788</v>
      </c>
      <c r="O2789" s="4" t="s">
        <v>3642</v>
      </c>
      <c r="P2789" s="4">
        <v>329</v>
      </c>
      <c r="Q2789" s="4" t="str">
        <f t="shared" si="137"/>
        <v>昌吉回族自治州</v>
      </c>
      <c r="R2789" s="4">
        <f t="shared" si="135"/>
        <v>31</v>
      </c>
      <c r="S2789" s="4" t="str">
        <f t="shared" si="136"/>
        <v>新疆维吾尔自治区</v>
      </c>
    </row>
    <row r="2790" spans="14:19">
      <c r="N2790" s="4">
        <v>2789</v>
      </c>
      <c r="O2790" s="4" t="s">
        <v>3643</v>
      </c>
      <c r="P2790" s="4">
        <v>329</v>
      </c>
      <c r="Q2790" s="4" t="str">
        <f t="shared" si="137"/>
        <v>昌吉回族自治州</v>
      </c>
      <c r="R2790" s="4">
        <f t="shared" si="135"/>
        <v>31</v>
      </c>
      <c r="S2790" s="4" t="str">
        <f t="shared" si="136"/>
        <v>新疆维吾尔自治区</v>
      </c>
    </row>
    <row r="2791" spans="14:19">
      <c r="N2791" s="4">
        <v>2790</v>
      </c>
      <c r="O2791" s="4" t="s">
        <v>3644</v>
      </c>
      <c r="P2791" s="4">
        <v>329</v>
      </c>
      <c r="Q2791" s="4" t="str">
        <f t="shared" si="137"/>
        <v>昌吉回族自治州</v>
      </c>
      <c r="R2791" s="4">
        <f t="shared" si="135"/>
        <v>31</v>
      </c>
      <c r="S2791" s="4" t="str">
        <f t="shared" si="136"/>
        <v>新疆维吾尔自治区</v>
      </c>
    </row>
    <row r="2792" spans="14:19">
      <c r="N2792" s="4">
        <v>2791</v>
      </c>
      <c r="O2792" s="4" t="s">
        <v>3645</v>
      </c>
      <c r="P2792" s="4">
        <v>329</v>
      </c>
      <c r="Q2792" s="4" t="str">
        <f t="shared" si="137"/>
        <v>昌吉回族自治州</v>
      </c>
      <c r="R2792" s="4">
        <f t="shared" si="135"/>
        <v>31</v>
      </c>
      <c r="S2792" s="4" t="str">
        <f t="shared" si="136"/>
        <v>新疆维吾尔自治区</v>
      </c>
    </row>
    <row r="2793" spans="14:19">
      <c r="N2793" s="4">
        <v>2792</v>
      </c>
      <c r="O2793" s="4" t="s">
        <v>3646</v>
      </c>
      <c r="P2793" s="4">
        <v>329</v>
      </c>
      <c r="Q2793" s="4" t="str">
        <f t="shared" si="137"/>
        <v>昌吉回族自治州</v>
      </c>
      <c r="R2793" s="4">
        <f t="shared" si="135"/>
        <v>31</v>
      </c>
      <c r="S2793" s="4" t="str">
        <f t="shared" si="136"/>
        <v>新疆维吾尔自治区</v>
      </c>
    </row>
    <row r="2794" spans="14:19">
      <c r="N2794" s="4">
        <v>2793</v>
      </c>
      <c r="O2794" s="4" t="s">
        <v>3647</v>
      </c>
      <c r="P2794" s="4">
        <v>329</v>
      </c>
      <c r="Q2794" s="4" t="str">
        <f t="shared" si="137"/>
        <v>昌吉回族自治州</v>
      </c>
      <c r="R2794" s="4">
        <f t="shared" si="135"/>
        <v>31</v>
      </c>
      <c r="S2794" s="4" t="str">
        <f t="shared" si="136"/>
        <v>新疆维吾尔自治区</v>
      </c>
    </row>
    <row r="2795" spans="14:19">
      <c r="N2795" s="4">
        <v>2794</v>
      </c>
      <c r="O2795" s="4" t="s">
        <v>3648</v>
      </c>
      <c r="P2795" s="4">
        <v>330</v>
      </c>
      <c r="Q2795" s="4" t="str">
        <f t="shared" si="137"/>
        <v>博尔塔拉蒙古自治州</v>
      </c>
      <c r="R2795" s="4">
        <f t="shared" si="135"/>
        <v>31</v>
      </c>
      <c r="S2795" s="4" t="str">
        <f t="shared" si="136"/>
        <v>新疆维吾尔自治区</v>
      </c>
    </row>
    <row r="2796" spans="14:19">
      <c r="N2796" s="4">
        <v>2795</v>
      </c>
      <c r="O2796" s="4" t="s">
        <v>3649</v>
      </c>
      <c r="P2796" s="4">
        <v>330</v>
      </c>
      <c r="Q2796" s="4" t="str">
        <f t="shared" si="137"/>
        <v>博尔塔拉蒙古自治州</v>
      </c>
      <c r="R2796" s="4">
        <f t="shared" si="135"/>
        <v>31</v>
      </c>
      <c r="S2796" s="4" t="str">
        <f t="shared" si="136"/>
        <v>新疆维吾尔自治区</v>
      </c>
    </row>
    <row r="2797" spans="14:19">
      <c r="N2797" s="4">
        <v>2796</v>
      </c>
      <c r="O2797" s="4" t="s">
        <v>3650</v>
      </c>
      <c r="P2797" s="4">
        <v>330</v>
      </c>
      <c r="Q2797" s="4" t="str">
        <f t="shared" si="137"/>
        <v>博尔塔拉蒙古自治州</v>
      </c>
      <c r="R2797" s="4">
        <f t="shared" si="135"/>
        <v>31</v>
      </c>
      <c r="S2797" s="4" t="str">
        <f t="shared" si="136"/>
        <v>新疆维吾尔自治区</v>
      </c>
    </row>
    <row r="2798" spans="14:19">
      <c r="N2798" s="4">
        <v>2797</v>
      </c>
      <c r="O2798" s="4" t="s">
        <v>3651</v>
      </c>
      <c r="P2798" s="4">
        <v>331</v>
      </c>
      <c r="Q2798" s="4" t="str">
        <f t="shared" si="137"/>
        <v>巴音郭楞蒙古自治州</v>
      </c>
      <c r="R2798" s="4">
        <f t="shared" si="135"/>
        <v>31</v>
      </c>
      <c r="S2798" s="4" t="str">
        <f t="shared" si="136"/>
        <v>新疆维吾尔自治区</v>
      </c>
    </row>
    <row r="2799" spans="14:19">
      <c r="N2799" s="4">
        <v>2798</v>
      </c>
      <c r="O2799" s="4" t="s">
        <v>3652</v>
      </c>
      <c r="P2799" s="4">
        <v>331</v>
      </c>
      <c r="Q2799" s="4" t="str">
        <f t="shared" si="137"/>
        <v>巴音郭楞蒙古自治州</v>
      </c>
      <c r="R2799" s="4">
        <f t="shared" si="135"/>
        <v>31</v>
      </c>
      <c r="S2799" s="4" t="str">
        <f t="shared" si="136"/>
        <v>新疆维吾尔自治区</v>
      </c>
    </row>
    <row r="2800" spans="14:19">
      <c r="N2800" s="4">
        <v>2799</v>
      </c>
      <c r="O2800" s="4" t="s">
        <v>3653</v>
      </c>
      <c r="P2800" s="4">
        <v>331</v>
      </c>
      <c r="Q2800" s="4" t="str">
        <f t="shared" si="137"/>
        <v>巴音郭楞蒙古自治州</v>
      </c>
      <c r="R2800" s="4">
        <f t="shared" si="135"/>
        <v>31</v>
      </c>
      <c r="S2800" s="4" t="str">
        <f t="shared" si="136"/>
        <v>新疆维吾尔自治区</v>
      </c>
    </row>
    <row r="2801" spans="14:19">
      <c r="N2801" s="4">
        <v>2800</v>
      </c>
      <c r="O2801" s="4" t="s">
        <v>3654</v>
      </c>
      <c r="P2801" s="4">
        <v>331</v>
      </c>
      <c r="Q2801" s="4" t="str">
        <f t="shared" si="137"/>
        <v>巴音郭楞蒙古自治州</v>
      </c>
      <c r="R2801" s="4">
        <f t="shared" si="135"/>
        <v>31</v>
      </c>
      <c r="S2801" s="4" t="str">
        <f t="shared" si="136"/>
        <v>新疆维吾尔自治区</v>
      </c>
    </row>
    <row r="2802" spans="14:19">
      <c r="N2802" s="4">
        <v>2801</v>
      </c>
      <c r="O2802" s="4" t="s">
        <v>3655</v>
      </c>
      <c r="P2802" s="4">
        <v>331</v>
      </c>
      <c r="Q2802" s="4" t="str">
        <f t="shared" si="137"/>
        <v>巴音郭楞蒙古自治州</v>
      </c>
      <c r="R2802" s="4">
        <f t="shared" si="135"/>
        <v>31</v>
      </c>
      <c r="S2802" s="4" t="str">
        <f t="shared" si="136"/>
        <v>新疆维吾尔自治区</v>
      </c>
    </row>
    <row r="2803" spans="14:19">
      <c r="N2803" s="4">
        <v>2802</v>
      </c>
      <c r="O2803" s="4" t="s">
        <v>3656</v>
      </c>
      <c r="P2803" s="4">
        <v>331</v>
      </c>
      <c r="Q2803" s="4" t="str">
        <f t="shared" si="137"/>
        <v>巴音郭楞蒙古自治州</v>
      </c>
      <c r="R2803" s="4">
        <f t="shared" si="135"/>
        <v>31</v>
      </c>
      <c r="S2803" s="4" t="str">
        <f t="shared" si="136"/>
        <v>新疆维吾尔自治区</v>
      </c>
    </row>
    <row r="2804" spans="14:19">
      <c r="N2804" s="4">
        <v>2803</v>
      </c>
      <c r="O2804" s="4" t="s">
        <v>3657</v>
      </c>
      <c r="P2804" s="4">
        <v>331</v>
      </c>
      <c r="Q2804" s="4" t="str">
        <f t="shared" si="137"/>
        <v>巴音郭楞蒙古自治州</v>
      </c>
      <c r="R2804" s="4">
        <f t="shared" si="135"/>
        <v>31</v>
      </c>
      <c r="S2804" s="4" t="str">
        <f t="shared" si="136"/>
        <v>新疆维吾尔自治区</v>
      </c>
    </row>
    <row r="2805" spans="14:19">
      <c r="N2805" s="4">
        <v>2804</v>
      </c>
      <c r="O2805" s="4" t="s">
        <v>3658</v>
      </c>
      <c r="P2805" s="4">
        <v>331</v>
      </c>
      <c r="Q2805" s="4" t="str">
        <f t="shared" si="137"/>
        <v>巴音郭楞蒙古自治州</v>
      </c>
      <c r="R2805" s="4">
        <f t="shared" si="135"/>
        <v>31</v>
      </c>
      <c r="S2805" s="4" t="str">
        <f t="shared" si="136"/>
        <v>新疆维吾尔自治区</v>
      </c>
    </row>
    <row r="2806" spans="14:19">
      <c r="N2806" s="4">
        <v>2805</v>
      </c>
      <c r="O2806" s="4" t="s">
        <v>3659</v>
      </c>
      <c r="P2806" s="4">
        <v>331</v>
      </c>
      <c r="Q2806" s="4" t="str">
        <f t="shared" si="137"/>
        <v>巴音郭楞蒙古自治州</v>
      </c>
      <c r="R2806" s="4">
        <f t="shared" si="135"/>
        <v>31</v>
      </c>
      <c r="S2806" s="4" t="str">
        <f t="shared" si="136"/>
        <v>新疆维吾尔自治区</v>
      </c>
    </row>
    <row r="2807" spans="14:19">
      <c r="N2807" s="4">
        <v>2806</v>
      </c>
      <c r="O2807" s="4" t="s">
        <v>3660</v>
      </c>
      <c r="P2807" s="4">
        <v>332</v>
      </c>
      <c r="Q2807" s="4" t="str">
        <f t="shared" si="137"/>
        <v>阿克苏地区</v>
      </c>
      <c r="R2807" s="4">
        <f t="shared" si="135"/>
        <v>31</v>
      </c>
      <c r="S2807" s="4" t="str">
        <f t="shared" si="136"/>
        <v>新疆维吾尔自治区</v>
      </c>
    </row>
    <row r="2808" spans="14:19">
      <c r="N2808" s="4">
        <v>2807</v>
      </c>
      <c r="O2808" s="4" t="s">
        <v>3661</v>
      </c>
      <c r="P2808" s="4">
        <v>332</v>
      </c>
      <c r="Q2808" s="4" t="str">
        <f t="shared" si="137"/>
        <v>阿克苏地区</v>
      </c>
      <c r="R2808" s="4">
        <f t="shared" si="135"/>
        <v>31</v>
      </c>
      <c r="S2808" s="4" t="str">
        <f t="shared" si="136"/>
        <v>新疆维吾尔自治区</v>
      </c>
    </row>
    <row r="2809" spans="14:19">
      <c r="N2809" s="4">
        <v>2808</v>
      </c>
      <c r="O2809" s="4" t="s">
        <v>3662</v>
      </c>
      <c r="P2809" s="4">
        <v>332</v>
      </c>
      <c r="Q2809" s="4" t="str">
        <f t="shared" si="137"/>
        <v>阿克苏地区</v>
      </c>
      <c r="R2809" s="4">
        <f t="shared" si="135"/>
        <v>31</v>
      </c>
      <c r="S2809" s="4" t="str">
        <f t="shared" si="136"/>
        <v>新疆维吾尔自治区</v>
      </c>
    </row>
    <row r="2810" spans="14:19">
      <c r="N2810" s="4">
        <v>2809</v>
      </c>
      <c r="O2810" s="4" t="s">
        <v>3663</v>
      </c>
      <c r="P2810" s="4">
        <v>332</v>
      </c>
      <c r="Q2810" s="4" t="str">
        <f t="shared" si="137"/>
        <v>阿克苏地区</v>
      </c>
      <c r="R2810" s="4">
        <f t="shared" si="135"/>
        <v>31</v>
      </c>
      <c r="S2810" s="4" t="str">
        <f t="shared" si="136"/>
        <v>新疆维吾尔自治区</v>
      </c>
    </row>
    <row r="2811" spans="14:19">
      <c r="N2811" s="4">
        <v>2810</v>
      </c>
      <c r="O2811" s="4" t="s">
        <v>3664</v>
      </c>
      <c r="P2811" s="4">
        <v>332</v>
      </c>
      <c r="Q2811" s="4" t="str">
        <f t="shared" si="137"/>
        <v>阿克苏地区</v>
      </c>
      <c r="R2811" s="4">
        <f t="shared" si="135"/>
        <v>31</v>
      </c>
      <c r="S2811" s="4" t="str">
        <f t="shared" si="136"/>
        <v>新疆维吾尔自治区</v>
      </c>
    </row>
    <row r="2812" spans="14:19">
      <c r="N2812" s="4">
        <v>2811</v>
      </c>
      <c r="O2812" s="4" t="s">
        <v>3665</v>
      </c>
      <c r="P2812" s="4">
        <v>332</v>
      </c>
      <c r="Q2812" s="4" t="str">
        <f t="shared" si="137"/>
        <v>阿克苏地区</v>
      </c>
      <c r="R2812" s="4">
        <f t="shared" si="135"/>
        <v>31</v>
      </c>
      <c r="S2812" s="4" t="str">
        <f t="shared" si="136"/>
        <v>新疆维吾尔自治区</v>
      </c>
    </row>
    <row r="2813" spans="14:19">
      <c r="N2813" s="4">
        <v>2812</v>
      </c>
      <c r="O2813" s="4" t="s">
        <v>3666</v>
      </c>
      <c r="P2813" s="4">
        <v>332</v>
      </c>
      <c r="Q2813" s="4" t="str">
        <f t="shared" si="137"/>
        <v>阿克苏地区</v>
      </c>
      <c r="R2813" s="4">
        <f t="shared" si="135"/>
        <v>31</v>
      </c>
      <c r="S2813" s="4" t="str">
        <f t="shared" si="136"/>
        <v>新疆维吾尔自治区</v>
      </c>
    </row>
    <row r="2814" spans="14:19">
      <c r="N2814" s="4">
        <v>2813</v>
      </c>
      <c r="O2814" s="4" t="s">
        <v>3667</v>
      </c>
      <c r="P2814" s="4">
        <v>332</v>
      </c>
      <c r="Q2814" s="4" t="str">
        <f t="shared" si="137"/>
        <v>阿克苏地区</v>
      </c>
      <c r="R2814" s="4">
        <f t="shared" si="135"/>
        <v>31</v>
      </c>
      <c r="S2814" s="4" t="str">
        <f t="shared" si="136"/>
        <v>新疆维吾尔自治区</v>
      </c>
    </row>
    <row r="2815" spans="14:19">
      <c r="N2815" s="4">
        <v>2814</v>
      </c>
      <c r="O2815" s="4" t="s">
        <v>3668</v>
      </c>
      <c r="P2815" s="4">
        <v>332</v>
      </c>
      <c r="Q2815" s="4" t="str">
        <f t="shared" si="137"/>
        <v>阿克苏地区</v>
      </c>
      <c r="R2815" s="4">
        <f t="shared" si="135"/>
        <v>31</v>
      </c>
      <c r="S2815" s="4" t="str">
        <f t="shared" si="136"/>
        <v>新疆维吾尔自治区</v>
      </c>
    </row>
    <row r="2816" spans="14:19">
      <c r="N2816" s="4">
        <v>2815</v>
      </c>
      <c r="O2816" s="4" t="s">
        <v>3669</v>
      </c>
      <c r="P2816" s="4">
        <v>333</v>
      </c>
      <c r="Q2816" s="4" t="str">
        <f t="shared" si="137"/>
        <v>克孜勒苏柯尔克孜自治州</v>
      </c>
      <c r="R2816" s="4">
        <f t="shared" si="135"/>
        <v>31</v>
      </c>
      <c r="S2816" s="4" t="str">
        <f t="shared" si="136"/>
        <v>新疆维吾尔自治区</v>
      </c>
    </row>
    <row r="2817" spans="14:19">
      <c r="N2817" s="4">
        <v>2816</v>
      </c>
      <c r="O2817" s="4" t="s">
        <v>3670</v>
      </c>
      <c r="P2817" s="4">
        <v>333</v>
      </c>
      <c r="Q2817" s="4" t="str">
        <f t="shared" si="137"/>
        <v>克孜勒苏柯尔克孜自治州</v>
      </c>
      <c r="R2817" s="4">
        <f t="shared" si="135"/>
        <v>31</v>
      </c>
      <c r="S2817" s="4" t="str">
        <f t="shared" si="136"/>
        <v>新疆维吾尔自治区</v>
      </c>
    </row>
    <row r="2818" spans="14:19">
      <c r="N2818" s="4">
        <v>2817</v>
      </c>
      <c r="O2818" s="4" t="s">
        <v>3671</v>
      </c>
      <c r="P2818" s="4">
        <v>333</v>
      </c>
      <c r="Q2818" s="4" t="str">
        <f t="shared" si="137"/>
        <v>克孜勒苏柯尔克孜自治州</v>
      </c>
      <c r="R2818" s="4">
        <f t="shared" ref="R2818:R2863" si="138">VLOOKUP(P2818,$I$2:$M$346,3,FALSE)</f>
        <v>31</v>
      </c>
      <c r="S2818" s="4" t="str">
        <f t="shared" ref="S2818:S2863" si="139">VLOOKUP(P2818,$I$2:$M$346,4,FALSE)</f>
        <v>新疆维吾尔自治区</v>
      </c>
    </row>
    <row r="2819" spans="14:19">
      <c r="N2819" s="4">
        <v>2818</v>
      </c>
      <c r="O2819" s="4" t="s">
        <v>3672</v>
      </c>
      <c r="P2819" s="4">
        <v>333</v>
      </c>
      <c r="Q2819" s="4" t="str">
        <f t="shared" ref="Q2819:Q2863" si="140">VLOOKUP(P2819,$I$2:$J$346,2,FALSE)</f>
        <v>克孜勒苏柯尔克孜自治州</v>
      </c>
      <c r="R2819" s="4">
        <f t="shared" si="138"/>
        <v>31</v>
      </c>
      <c r="S2819" s="4" t="str">
        <f t="shared" si="139"/>
        <v>新疆维吾尔自治区</v>
      </c>
    </row>
    <row r="2820" spans="14:19">
      <c r="N2820" s="4">
        <v>2819</v>
      </c>
      <c r="O2820" s="4" t="s">
        <v>3673</v>
      </c>
      <c r="P2820" s="4">
        <v>334</v>
      </c>
      <c r="Q2820" s="4" t="str">
        <f t="shared" si="140"/>
        <v>喀什地区</v>
      </c>
      <c r="R2820" s="4">
        <f t="shared" si="138"/>
        <v>31</v>
      </c>
      <c r="S2820" s="4" t="str">
        <f t="shared" si="139"/>
        <v>新疆维吾尔自治区</v>
      </c>
    </row>
    <row r="2821" spans="14:19">
      <c r="N2821" s="4">
        <v>2820</v>
      </c>
      <c r="O2821" s="4" t="s">
        <v>3674</v>
      </c>
      <c r="P2821" s="4">
        <v>334</v>
      </c>
      <c r="Q2821" s="4" t="str">
        <f t="shared" si="140"/>
        <v>喀什地区</v>
      </c>
      <c r="R2821" s="4">
        <f t="shared" si="138"/>
        <v>31</v>
      </c>
      <c r="S2821" s="4" t="str">
        <f t="shared" si="139"/>
        <v>新疆维吾尔自治区</v>
      </c>
    </row>
    <row r="2822" spans="14:19">
      <c r="N2822" s="4">
        <v>2821</v>
      </c>
      <c r="O2822" s="4" t="s">
        <v>3675</v>
      </c>
      <c r="P2822" s="4">
        <v>334</v>
      </c>
      <c r="Q2822" s="4" t="str">
        <f t="shared" si="140"/>
        <v>喀什地区</v>
      </c>
      <c r="R2822" s="4">
        <f t="shared" si="138"/>
        <v>31</v>
      </c>
      <c r="S2822" s="4" t="str">
        <f t="shared" si="139"/>
        <v>新疆维吾尔自治区</v>
      </c>
    </row>
    <row r="2823" spans="14:19">
      <c r="N2823" s="4">
        <v>2822</v>
      </c>
      <c r="O2823" s="4" t="s">
        <v>3676</v>
      </c>
      <c r="P2823" s="4">
        <v>334</v>
      </c>
      <c r="Q2823" s="4" t="str">
        <f t="shared" si="140"/>
        <v>喀什地区</v>
      </c>
      <c r="R2823" s="4">
        <f t="shared" si="138"/>
        <v>31</v>
      </c>
      <c r="S2823" s="4" t="str">
        <f t="shared" si="139"/>
        <v>新疆维吾尔自治区</v>
      </c>
    </row>
    <row r="2824" spans="14:19">
      <c r="N2824" s="4">
        <v>2823</v>
      </c>
      <c r="O2824" s="4" t="s">
        <v>3677</v>
      </c>
      <c r="P2824" s="4">
        <v>334</v>
      </c>
      <c r="Q2824" s="4" t="str">
        <f t="shared" si="140"/>
        <v>喀什地区</v>
      </c>
      <c r="R2824" s="4">
        <f t="shared" si="138"/>
        <v>31</v>
      </c>
      <c r="S2824" s="4" t="str">
        <f t="shared" si="139"/>
        <v>新疆维吾尔自治区</v>
      </c>
    </row>
    <row r="2825" spans="14:19">
      <c r="N2825" s="4">
        <v>2824</v>
      </c>
      <c r="O2825" s="4" t="s">
        <v>3678</v>
      </c>
      <c r="P2825" s="4">
        <v>334</v>
      </c>
      <c r="Q2825" s="4" t="str">
        <f t="shared" si="140"/>
        <v>喀什地区</v>
      </c>
      <c r="R2825" s="4">
        <f t="shared" si="138"/>
        <v>31</v>
      </c>
      <c r="S2825" s="4" t="str">
        <f t="shared" si="139"/>
        <v>新疆维吾尔自治区</v>
      </c>
    </row>
    <row r="2826" spans="14:19">
      <c r="N2826" s="4">
        <v>2825</v>
      </c>
      <c r="O2826" s="4" t="s">
        <v>3679</v>
      </c>
      <c r="P2826" s="4">
        <v>334</v>
      </c>
      <c r="Q2826" s="4" t="str">
        <f t="shared" si="140"/>
        <v>喀什地区</v>
      </c>
      <c r="R2826" s="4">
        <f t="shared" si="138"/>
        <v>31</v>
      </c>
      <c r="S2826" s="4" t="str">
        <f t="shared" si="139"/>
        <v>新疆维吾尔自治区</v>
      </c>
    </row>
    <row r="2827" spans="14:19">
      <c r="N2827" s="4">
        <v>2826</v>
      </c>
      <c r="O2827" s="4" t="s">
        <v>3680</v>
      </c>
      <c r="P2827" s="4">
        <v>334</v>
      </c>
      <c r="Q2827" s="4" t="str">
        <f t="shared" si="140"/>
        <v>喀什地区</v>
      </c>
      <c r="R2827" s="4">
        <f t="shared" si="138"/>
        <v>31</v>
      </c>
      <c r="S2827" s="4" t="str">
        <f t="shared" si="139"/>
        <v>新疆维吾尔自治区</v>
      </c>
    </row>
    <row r="2828" spans="14:19">
      <c r="N2828" s="4">
        <v>2827</v>
      </c>
      <c r="O2828" s="4" t="s">
        <v>3681</v>
      </c>
      <c r="P2828" s="4">
        <v>334</v>
      </c>
      <c r="Q2828" s="4" t="str">
        <f t="shared" si="140"/>
        <v>喀什地区</v>
      </c>
      <c r="R2828" s="4">
        <f t="shared" si="138"/>
        <v>31</v>
      </c>
      <c r="S2828" s="4" t="str">
        <f t="shared" si="139"/>
        <v>新疆维吾尔自治区</v>
      </c>
    </row>
    <row r="2829" spans="14:19">
      <c r="N2829" s="4">
        <v>2828</v>
      </c>
      <c r="O2829" s="4" t="s">
        <v>3682</v>
      </c>
      <c r="P2829" s="4">
        <v>334</v>
      </c>
      <c r="Q2829" s="4" t="str">
        <f t="shared" si="140"/>
        <v>喀什地区</v>
      </c>
      <c r="R2829" s="4">
        <f t="shared" si="138"/>
        <v>31</v>
      </c>
      <c r="S2829" s="4" t="str">
        <f t="shared" si="139"/>
        <v>新疆维吾尔自治区</v>
      </c>
    </row>
    <row r="2830" spans="14:19">
      <c r="N2830" s="4">
        <v>2829</v>
      </c>
      <c r="O2830" s="4" t="s">
        <v>3683</v>
      </c>
      <c r="P2830" s="4">
        <v>334</v>
      </c>
      <c r="Q2830" s="4" t="str">
        <f t="shared" si="140"/>
        <v>喀什地区</v>
      </c>
      <c r="R2830" s="4">
        <f t="shared" si="138"/>
        <v>31</v>
      </c>
      <c r="S2830" s="4" t="str">
        <f t="shared" si="139"/>
        <v>新疆维吾尔自治区</v>
      </c>
    </row>
    <row r="2831" spans="14:19">
      <c r="N2831" s="4">
        <v>2830</v>
      </c>
      <c r="O2831" s="4" t="s">
        <v>3684</v>
      </c>
      <c r="P2831" s="4">
        <v>334</v>
      </c>
      <c r="Q2831" s="4" t="str">
        <f t="shared" si="140"/>
        <v>喀什地区</v>
      </c>
      <c r="R2831" s="4">
        <f t="shared" si="138"/>
        <v>31</v>
      </c>
      <c r="S2831" s="4" t="str">
        <f t="shared" si="139"/>
        <v>新疆维吾尔自治区</v>
      </c>
    </row>
    <row r="2832" spans="14:19">
      <c r="N2832" s="4">
        <v>2831</v>
      </c>
      <c r="O2832" s="4" t="s">
        <v>3685</v>
      </c>
      <c r="P2832" s="4">
        <v>335</v>
      </c>
      <c r="Q2832" s="4" t="str">
        <f t="shared" si="140"/>
        <v>和田地区</v>
      </c>
      <c r="R2832" s="4">
        <f t="shared" si="138"/>
        <v>31</v>
      </c>
      <c r="S2832" s="4" t="str">
        <f t="shared" si="139"/>
        <v>新疆维吾尔自治区</v>
      </c>
    </row>
    <row r="2833" spans="14:19">
      <c r="N2833" s="4">
        <v>2832</v>
      </c>
      <c r="O2833" s="4" t="s">
        <v>3686</v>
      </c>
      <c r="P2833" s="4">
        <v>335</v>
      </c>
      <c r="Q2833" s="4" t="str">
        <f t="shared" si="140"/>
        <v>和田地区</v>
      </c>
      <c r="R2833" s="4">
        <f t="shared" si="138"/>
        <v>31</v>
      </c>
      <c r="S2833" s="4" t="str">
        <f t="shared" si="139"/>
        <v>新疆维吾尔自治区</v>
      </c>
    </row>
    <row r="2834" spans="14:19">
      <c r="N2834" s="4">
        <v>2833</v>
      </c>
      <c r="O2834" s="4" t="s">
        <v>3687</v>
      </c>
      <c r="P2834" s="4">
        <v>335</v>
      </c>
      <c r="Q2834" s="4" t="str">
        <f t="shared" si="140"/>
        <v>和田地区</v>
      </c>
      <c r="R2834" s="4">
        <f t="shared" si="138"/>
        <v>31</v>
      </c>
      <c r="S2834" s="4" t="str">
        <f t="shared" si="139"/>
        <v>新疆维吾尔自治区</v>
      </c>
    </row>
    <row r="2835" spans="14:19">
      <c r="N2835" s="4">
        <v>2834</v>
      </c>
      <c r="O2835" s="4" t="s">
        <v>3688</v>
      </c>
      <c r="P2835" s="4">
        <v>335</v>
      </c>
      <c r="Q2835" s="4" t="str">
        <f t="shared" si="140"/>
        <v>和田地区</v>
      </c>
      <c r="R2835" s="4">
        <f t="shared" si="138"/>
        <v>31</v>
      </c>
      <c r="S2835" s="4" t="str">
        <f t="shared" si="139"/>
        <v>新疆维吾尔自治区</v>
      </c>
    </row>
    <row r="2836" spans="14:19">
      <c r="N2836" s="4">
        <v>2835</v>
      </c>
      <c r="O2836" s="4" t="s">
        <v>3689</v>
      </c>
      <c r="P2836" s="4">
        <v>335</v>
      </c>
      <c r="Q2836" s="4" t="str">
        <f t="shared" si="140"/>
        <v>和田地区</v>
      </c>
      <c r="R2836" s="4">
        <f t="shared" si="138"/>
        <v>31</v>
      </c>
      <c r="S2836" s="4" t="str">
        <f t="shared" si="139"/>
        <v>新疆维吾尔自治区</v>
      </c>
    </row>
    <row r="2837" spans="14:19">
      <c r="N2837" s="4">
        <v>2836</v>
      </c>
      <c r="O2837" s="4" t="s">
        <v>3690</v>
      </c>
      <c r="P2837" s="4">
        <v>335</v>
      </c>
      <c r="Q2837" s="4" t="str">
        <f t="shared" si="140"/>
        <v>和田地区</v>
      </c>
      <c r="R2837" s="4">
        <f t="shared" si="138"/>
        <v>31</v>
      </c>
      <c r="S2837" s="4" t="str">
        <f t="shared" si="139"/>
        <v>新疆维吾尔自治区</v>
      </c>
    </row>
    <row r="2838" spans="14:19">
      <c r="N2838" s="4">
        <v>2837</v>
      </c>
      <c r="O2838" s="4" t="s">
        <v>3691</v>
      </c>
      <c r="P2838" s="4">
        <v>335</v>
      </c>
      <c r="Q2838" s="4" t="str">
        <f t="shared" si="140"/>
        <v>和田地区</v>
      </c>
      <c r="R2838" s="4">
        <f t="shared" si="138"/>
        <v>31</v>
      </c>
      <c r="S2838" s="4" t="str">
        <f t="shared" si="139"/>
        <v>新疆维吾尔自治区</v>
      </c>
    </row>
    <row r="2839" spans="14:19">
      <c r="N2839" s="4">
        <v>2838</v>
      </c>
      <c r="O2839" s="4" t="s">
        <v>3692</v>
      </c>
      <c r="P2839" s="4">
        <v>335</v>
      </c>
      <c r="Q2839" s="4" t="str">
        <f t="shared" si="140"/>
        <v>和田地区</v>
      </c>
      <c r="R2839" s="4">
        <f t="shared" si="138"/>
        <v>31</v>
      </c>
      <c r="S2839" s="4" t="str">
        <f t="shared" si="139"/>
        <v>新疆维吾尔自治区</v>
      </c>
    </row>
    <row r="2840" spans="14:19">
      <c r="N2840" s="4">
        <v>2839</v>
      </c>
      <c r="O2840" s="4" t="s">
        <v>3693</v>
      </c>
      <c r="P2840" s="4">
        <v>336</v>
      </c>
      <c r="Q2840" s="4" t="str">
        <f t="shared" si="140"/>
        <v>伊犁哈萨克自治州</v>
      </c>
      <c r="R2840" s="4">
        <f t="shared" si="138"/>
        <v>31</v>
      </c>
      <c r="S2840" s="4" t="str">
        <f t="shared" si="139"/>
        <v>新疆维吾尔自治区</v>
      </c>
    </row>
    <row r="2841" spans="14:19">
      <c r="N2841" s="4">
        <v>2840</v>
      </c>
      <c r="O2841" s="4" t="s">
        <v>3694</v>
      </c>
      <c r="P2841" s="4">
        <v>336</v>
      </c>
      <c r="Q2841" s="4" t="str">
        <f t="shared" si="140"/>
        <v>伊犁哈萨克自治州</v>
      </c>
      <c r="R2841" s="4">
        <f t="shared" si="138"/>
        <v>31</v>
      </c>
      <c r="S2841" s="4" t="str">
        <f t="shared" si="139"/>
        <v>新疆维吾尔自治区</v>
      </c>
    </row>
    <row r="2842" spans="14:19">
      <c r="N2842" s="4">
        <v>2841</v>
      </c>
      <c r="O2842" s="4" t="s">
        <v>3695</v>
      </c>
      <c r="P2842" s="4">
        <v>336</v>
      </c>
      <c r="Q2842" s="4" t="str">
        <f t="shared" si="140"/>
        <v>伊犁哈萨克自治州</v>
      </c>
      <c r="R2842" s="4">
        <f t="shared" si="138"/>
        <v>31</v>
      </c>
      <c r="S2842" s="4" t="str">
        <f t="shared" si="139"/>
        <v>新疆维吾尔自治区</v>
      </c>
    </row>
    <row r="2843" spans="14:19">
      <c r="N2843" s="4">
        <v>2842</v>
      </c>
      <c r="O2843" s="4" t="s">
        <v>3696</v>
      </c>
      <c r="P2843" s="4">
        <v>336</v>
      </c>
      <c r="Q2843" s="4" t="str">
        <f t="shared" si="140"/>
        <v>伊犁哈萨克自治州</v>
      </c>
      <c r="R2843" s="4">
        <f t="shared" si="138"/>
        <v>31</v>
      </c>
      <c r="S2843" s="4" t="str">
        <f t="shared" si="139"/>
        <v>新疆维吾尔自治区</v>
      </c>
    </row>
    <row r="2844" spans="14:19">
      <c r="N2844" s="4">
        <v>2843</v>
      </c>
      <c r="O2844" s="4" t="s">
        <v>3697</v>
      </c>
      <c r="P2844" s="4">
        <v>336</v>
      </c>
      <c r="Q2844" s="4" t="str">
        <f t="shared" si="140"/>
        <v>伊犁哈萨克自治州</v>
      </c>
      <c r="R2844" s="4">
        <f t="shared" si="138"/>
        <v>31</v>
      </c>
      <c r="S2844" s="4" t="str">
        <f t="shared" si="139"/>
        <v>新疆维吾尔自治区</v>
      </c>
    </row>
    <row r="2845" spans="14:19">
      <c r="N2845" s="4">
        <v>2844</v>
      </c>
      <c r="O2845" s="4" t="s">
        <v>3698</v>
      </c>
      <c r="P2845" s="4">
        <v>336</v>
      </c>
      <c r="Q2845" s="4" t="str">
        <f t="shared" si="140"/>
        <v>伊犁哈萨克自治州</v>
      </c>
      <c r="R2845" s="4">
        <f t="shared" si="138"/>
        <v>31</v>
      </c>
      <c r="S2845" s="4" t="str">
        <f t="shared" si="139"/>
        <v>新疆维吾尔自治区</v>
      </c>
    </row>
    <row r="2846" spans="14:19">
      <c r="N2846" s="4">
        <v>2845</v>
      </c>
      <c r="O2846" s="4" t="s">
        <v>3699</v>
      </c>
      <c r="P2846" s="4">
        <v>336</v>
      </c>
      <c r="Q2846" s="4" t="str">
        <f t="shared" si="140"/>
        <v>伊犁哈萨克自治州</v>
      </c>
      <c r="R2846" s="4">
        <f t="shared" si="138"/>
        <v>31</v>
      </c>
      <c r="S2846" s="4" t="str">
        <f t="shared" si="139"/>
        <v>新疆维吾尔自治区</v>
      </c>
    </row>
    <row r="2847" spans="14:19">
      <c r="N2847" s="4">
        <v>2846</v>
      </c>
      <c r="O2847" s="4" t="s">
        <v>3700</v>
      </c>
      <c r="P2847" s="4">
        <v>336</v>
      </c>
      <c r="Q2847" s="4" t="str">
        <f t="shared" si="140"/>
        <v>伊犁哈萨克自治州</v>
      </c>
      <c r="R2847" s="4">
        <f t="shared" si="138"/>
        <v>31</v>
      </c>
      <c r="S2847" s="4" t="str">
        <f t="shared" si="139"/>
        <v>新疆维吾尔自治区</v>
      </c>
    </row>
    <row r="2848" spans="14:19">
      <c r="N2848" s="4">
        <v>2847</v>
      </c>
      <c r="O2848" s="4" t="s">
        <v>3701</v>
      </c>
      <c r="P2848" s="4">
        <v>336</v>
      </c>
      <c r="Q2848" s="4" t="str">
        <f t="shared" si="140"/>
        <v>伊犁哈萨克自治州</v>
      </c>
      <c r="R2848" s="4">
        <f t="shared" si="138"/>
        <v>31</v>
      </c>
      <c r="S2848" s="4" t="str">
        <f t="shared" si="139"/>
        <v>新疆维吾尔自治区</v>
      </c>
    </row>
    <row r="2849" spans="14:19">
      <c r="N2849" s="4">
        <v>2848</v>
      </c>
      <c r="O2849" s="4" t="s">
        <v>3702</v>
      </c>
      <c r="P2849" s="4">
        <v>336</v>
      </c>
      <c r="Q2849" s="4" t="str">
        <f t="shared" si="140"/>
        <v>伊犁哈萨克自治州</v>
      </c>
      <c r="R2849" s="4">
        <f t="shared" si="138"/>
        <v>31</v>
      </c>
      <c r="S2849" s="4" t="str">
        <f t="shared" si="139"/>
        <v>新疆维吾尔自治区</v>
      </c>
    </row>
    <row r="2850" spans="14:19">
      <c r="N2850" s="4">
        <v>2849</v>
      </c>
      <c r="O2850" s="4" t="s">
        <v>3703</v>
      </c>
      <c r="P2850" s="4">
        <v>337</v>
      </c>
      <c r="Q2850" s="4" t="str">
        <f t="shared" si="140"/>
        <v>塔城地区</v>
      </c>
      <c r="R2850" s="4">
        <f t="shared" si="138"/>
        <v>31</v>
      </c>
      <c r="S2850" s="4" t="str">
        <f t="shared" si="139"/>
        <v>新疆维吾尔自治区</v>
      </c>
    </row>
    <row r="2851" spans="14:19">
      <c r="N2851" s="4">
        <v>2850</v>
      </c>
      <c r="O2851" s="4" t="s">
        <v>3704</v>
      </c>
      <c r="P2851" s="4">
        <v>337</v>
      </c>
      <c r="Q2851" s="4" t="str">
        <f t="shared" si="140"/>
        <v>塔城地区</v>
      </c>
      <c r="R2851" s="4">
        <f t="shared" si="138"/>
        <v>31</v>
      </c>
      <c r="S2851" s="4" t="str">
        <f t="shared" si="139"/>
        <v>新疆维吾尔自治区</v>
      </c>
    </row>
    <row r="2852" spans="14:19">
      <c r="N2852" s="4">
        <v>2851</v>
      </c>
      <c r="O2852" s="4" t="s">
        <v>3705</v>
      </c>
      <c r="P2852" s="4">
        <v>337</v>
      </c>
      <c r="Q2852" s="4" t="str">
        <f t="shared" si="140"/>
        <v>塔城地区</v>
      </c>
      <c r="R2852" s="4">
        <f t="shared" si="138"/>
        <v>31</v>
      </c>
      <c r="S2852" s="4" t="str">
        <f t="shared" si="139"/>
        <v>新疆维吾尔自治区</v>
      </c>
    </row>
    <row r="2853" spans="14:19">
      <c r="N2853" s="4">
        <v>2852</v>
      </c>
      <c r="O2853" s="4" t="s">
        <v>3706</v>
      </c>
      <c r="P2853" s="4">
        <v>337</v>
      </c>
      <c r="Q2853" s="4" t="str">
        <f t="shared" si="140"/>
        <v>塔城地区</v>
      </c>
      <c r="R2853" s="4">
        <f t="shared" si="138"/>
        <v>31</v>
      </c>
      <c r="S2853" s="4" t="str">
        <f t="shared" si="139"/>
        <v>新疆维吾尔自治区</v>
      </c>
    </row>
    <row r="2854" spans="14:19">
      <c r="N2854" s="4">
        <v>2853</v>
      </c>
      <c r="O2854" s="4" t="s">
        <v>3707</v>
      </c>
      <c r="P2854" s="4">
        <v>337</v>
      </c>
      <c r="Q2854" s="4" t="str">
        <f t="shared" si="140"/>
        <v>塔城地区</v>
      </c>
      <c r="R2854" s="4">
        <f t="shared" si="138"/>
        <v>31</v>
      </c>
      <c r="S2854" s="4" t="str">
        <f t="shared" si="139"/>
        <v>新疆维吾尔自治区</v>
      </c>
    </row>
    <row r="2855" spans="14:19">
      <c r="N2855" s="4">
        <v>2854</v>
      </c>
      <c r="O2855" s="4" t="s">
        <v>3708</v>
      </c>
      <c r="P2855" s="4">
        <v>337</v>
      </c>
      <c r="Q2855" s="4" t="str">
        <f t="shared" si="140"/>
        <v>塔城地区</v>
      </c>
      <c r="R2855" s="4">
        <f t="shared" si="138"/>
        <v>31</v>
      </c>
      <c r="S2855" s="4" t="str">
        <f t="shared" si="139"/>
        <v>新疆维吾尔自治区</v>
      </c>
    </row>
    <row r="2856" spans="14:19">
      <c r="N2856" s="4">
        <v>2855</v>
      </c>
      <c r="O2856" s="4" t="s">
        <v>3709</v>
      </c>
      <c r="P2856" s="4">
        <v>337</v>
      </c>
      <c r="Q2856" s="4" t="str">
        <f t="shared" si="140"/>
        <v>塔城地区</v>
      </c>
      <c r="R2856" s="4">
        <f t="shared" si="138"/>
        <v>31</v>
      </c>
      <c r="S2856" s="4" t="str">
        <f t="shared" si="139"/>
        <v>新疆维吾尔自治区</v>
      </c>
    </row>
    <row r="2857" spans="14:19">
      <c r="N2857" s="4">
        <v>2856</v>
      </c>
      <c r="O2857" s="4" t="s">
        <v>3710</v>
      </c>
      <c r="P2857" s="4">
        <v>338</v>
      </c>
      <c r="Q2857" s="4" t="str">
        <f t="shared" si="140"/>
        <v>阿勒泰地区</v>
      </c>
      <c r="R2857" s="4">
        <f t="shared" si="138"/>
        <v>31</v>
      </c>
      <c r="S2857" s="4" t="str">
        <f t="shared" si="139"/>
        <v>新疆维吾尔自治区</v>
      </c>
    </row>
    <row r="2858" spans="14:19">
      <c r="N2858" s="4">
        <v>2857</v>
      </c>
      <c r="O2858" s="4" t="s">
        <v>3711</v>
      </c>
      <c r="P2858" s="4">
        <v>338</v>
      </c>
      <c r="Q2858" s="4" t="str">
        <f t="shared" si="140"/>
        <v>阿勒泰地区</v>
      </c>
      <c r="R2858" s="4">
        <f t="shared" si="138"/>
        <v>31</v>
      </c>
      <c r="S2858" s="4" t="str">
        <f t="shared" si="139"/>
        <v>新疆维吾尔自治区</v>
      </c>
    </row>
    <row r="2859" spans="14:19">
      <c r="N2859" s="4">
        <v>2858</v>
      </c>
      <c r="O2859" s="4" t="s">
        <v>3712</v>
      </c>
      <c r="P2859" s="4">
        <v>338</v>
      </c>
      <c r="Q2859" s="4" t="str">
        <f t="shared" si="140"/>
        <v>阿勒泰地区</v>
      </c>
      <c r="R2859" s="4">
        <f t="shared" si="138"/>
        <v>31</v>
      </c>
      <c r="S2859" s="4" t="str">
        <f t="shared" si="139"/>
        <v>新疆维吾尔自治区</v>
      </c>
    </row>
    <row r="2860" spans="14:19">
      <c r="N2860" s="4">
        <v>2859</v>
      </c>
      <c r="O2860" s="4" t="s">
        <v>3713</v>
      </c>
      <c r="P2860" s="4">
        <v>338</v>
      </c>
      <c r="Q2860" s="4" t="str">
        <f t="shared" si="140"/>
        <v>阿勒泰地区</v>
      </c>
      <c r="R2860" s="4">
        <f t="shared" si="138"/>
        <v>31</v>
      </c>
      <c r="S2860" s="4" t="str">
        <f t="shared" si="139"/>
        <v>新疆维吾尔自治区</v>
      </c>
    </row>
    <row r="2861" spans="14:19">
      <c r="N2861" s="4">
        <v>2860</v>
      </c>
      <c r="O2861" s="4" t="s">
        <v>3714</v>
      </c>
      <c r="P2861" s="4">
        <v>338</v>
      </c>
      <c r="Q2861" s="4" t="str">
        <f t="shared" si="140"/>
        <v>阿勒泰地区</v>
      </c>
      <c r="R2861" s="4">
        <f t="shared" si="138"/>
        <v>31</v>
      </c>
      <c r="S2861" s="4" t="str">
        <f t="shared" si="139"/>
        <v>新疆维吾尔自治区</v>
      </c>
    </row>
    <row r="2862" spans="14:19">
      <c r="N2862" s="4">
        <v>2861</v>
      </c>
      <c r="O2862" s="4" t="s">
        <v>3715</v>
      </c>
      <c r="P2862" s="4">
        <v>338</v>
      </c>
      <c r="Q2862" s="4" t="str">
        <f t="shared" si="140"/>
        <v>阿勒泰地区</v>
      </c>
      <c r="R2862" s="4">
        <f t="shared" si="138"/>
        <v>31</v>
      </c>
      <c r="S2862" s="4" t="str">
        <f t="shared" si="139"/>
        <v>新疆维吾尔自治区</v>
      </c>
    </row>
    <row r="2863" spans="14:19">
      <c r="N2863" s="4">
        <v>2862</v>
      </c>
      <c r="O2863" s="4" t="s">
        <v>3716</v>
      </c>
      <c r="P2863" s="4">
        <v>338</v>
      </c>
      <c r="Q2863" s="4" t="str">
        <f t="shared" si="140"/>
        <v>阿勒泰地区</v>
      </c>
      <c r="R2863" s="4">
        <f t="shared" si="138"/>
        <v>31</v>
      </c>
      <c r="S2863" s="4" t="str">
        <f t="shared" si="139"/>
        <v>新疆维吾尔自治区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H27"/>
  <sheetViews>
    <sheetView showGridLines="0" workbookViewId="0">
      <selection activeCell="I33" sqref="I33"/>
    </sheetView>
  </sheetViews>
  <sheetFormatPr defaultColWidth="9" defaultRowHeight="14.4"/>
  <cols>
    <col min="1" max="2" width="7.75" customWidth="1"/>
    <col min="4" max="4" width="7.75" customWidth="1"/>
    <col min="5" max="5" width="14.1296296296296" customWidth="1"/>
    <col min="7" max="7" width="17.25" customWidth="1"/>
    <col min="8" max="8" width="13" customWidth="1"/>
    <col min="9" max="9" width="7.75" customWidth="1"/>
    <col min="11" max="11" width="7.75" customWidth="1"/>
    <col min="13" max="13" width="7.75" customWidth="1"/>
    <col min="15" max="15" width="7.75" customWidth="1"/>
    <col min="17" max="18" width="21.3796296296296" customWidth="1"/>
    <col min="19" max="19" width="7.75" customWidth="1"/>
    <col min="20" max="20" width="16.3796296296296" customWidth="1"/>
    <col min="21" max="22" width="7.75" customWidth="1"/>
    <col min="23" max="23" width="19.25" customWidth="1"/>
    <col min="24" max="24" width="23.5" customWidth="1"/>
    <col min="25" max="25" width="21.3796296296296" customWidth="1"/>
    <col min="26" max="26" width="11.8796296296296" customWidth="1"/>
    <col min="27" max="27" width="7.75" customWidth="1"/>
    <col min="28" max="28" width="15.1296296296296" customWidth="1"/>
    <col min="29" max="29" width="21.3796296296296" customWidth="1"/>
    <col min="30" max="30" width="16.3796296296296" customWidth="1"/>
    <col min="31" max="31" width="23.5" customWidth="1"/>
    <col min="32" max="33" width="16.3796296296296" customWidth="1"/>
    <col min="34" max="34" width="7.75" customWidth="1"/>
  </cols>
  <sheetData>
    <row r="1" spans="1:34">
      <c r="A1" s="1" t="s">
        <v>130</v>
      </c>
      <c r="B1" s="1" t="s">
        <v>138</v>
      </c>
      <c r="C1" s="1" t="s">
        <v>146</v>
      </c>
      <c r="D1" s="1" t="s">
        <v>154</v>
      </c>
      <c r="E1" s="1" t="s">
        <v>160</v>
      </c>
      <c r="F1" s="1" t="s">
        <v>165</v>
      </c>
      <c r="G1" s="1" t="s">
        <v>170</v>
      </c>
      <c r="H1" s="1" t="s">
        <v>175</v>
      </c>
      <c r="I1" s="1" t="s">
        <v>180</v>
      </c>
      <c r="J1" s="1" t="s">
        <v>185</v>
      </c>
      <c r="K1" s="1" t="s">
        <v>190</v>
      </c>
      <c r="L1" s="1" t="s">
        <v>195</v>
      </c>
      <c r="M1" s="1" t="s">
        <v>201</v>
      </c>
      <c r="N1" s="1" t="s">
        <v>206</v>
      </c>
      <c r="O1" s="1" t="s">
        <v>211</v>
      </c>
      <c r="P1" s="1" t="s">
        <v>216</v>
      </c>
      <c r="Q1" s="1" t="s">
        <v>221</v>
      </c>
      <c r="R1" s="1" t="s">
        <v>226</v>
      </c>
      <c r="S1" s="1" t="s">
        <v>231</v>
      </c>
      <c r="T1" s="1" t="s">
        <v>236</v>
      </c>
      <c r="U1" s="1" t="s">
        <v>241</v>
      </c>
      <c r="V1" s="1" t="s">
        <v>246</v>
      </c>
      <c r="W1" s="1" t="s">
        <v>18</v>
      </c>
      <c r="X1" s="1" t="s">
        <v>255</v>
      </c>
      <c r="Y1" s="1" t="s">
        <v>260</v>
      </c>
      <c r="Z1" s="1" t="s">
        <v>265</v>
      </c>
      <c r="AA1" s="1" t="s">
        <v>270</v>
      </c>
      <c r="AB1" s="1" t="s">
        <v>275</v>
      </c>
      <c r="AC1" s="1" t="s">
        <v>280</v>
      </c>
      <c r="AD1" s="1" t="s">
        <v>285</v>
      </c>
      <c r="AE1" s="1" t="s">
        <v>290</v>
      </c>
      <c r="AF1" s="1" t="s">
        <v>295</v>
      </c>
      <c r="AG1" s="1" t="s">
        <v>300</v>
      </c>
      <c r="AH1" s="1" t="s">
        <v>305</v>
      </c>
    </row>
    <row r="2" spans="1:34">
      <c r="A2" s="2" t="s">
        <v>130</v>
      </c>
      <c r="B2" s="2" t="s">
        <v>138</v>
      </c>
      <c r="C2" s="2" t="s">
        <v>147</v>
      </c>
      <c r="D2" s="2" t="s">
        <v>207</v>
      </c>
      <c r="E2" s="2" t="s">
        <v>261</v>
      </c>
      <c r="F2" s="2" t="s">
        <v>317</v>
      </c>
      <c r="G2" s="2" t="s">
        <v>373</v>
      </c>
      <c r="H2" s="2" t="s">
        <v>405</v>
      </c>
      <c r="I2" s="2" t="s">
        <v>180</v>
      </c>
      <c r="J2" s="2" t="s">
        <v>446</v>
      </c>
      <c r="K2" s="2" t="s">
        <v>485</v>
      </c>
      <c r="L2" s="2" t="s">
        <v>518</v>
      </c>
      <c r="M2" s="2" t="s">
        <v>567</v>
      </c>
      <c r="N2" s="2" t="s">
        <v>594</v>
      </c>
      <c r="O2" s="2" t="s">
        <v>627</v>
      </c>
      <c r="P2" s="2" t="s">
        <v>675</v>
      </c>
      <c r="Q2" s="2" t="s">
        <v>726</v>
      </c>
      <c r="R2" s="2" t="s">
        <v>767</v>
      </c>
      <c r="S2" s="2" t="s">
        <v>809</v>
      </c>
      <c r="T2" s="2" t="s">
        <v>872</v>
      </c>
      <c r="U2" s="2" t="s">
        <v>912</v>
      </c>
      <c r="V2" s="2" t="s">
        <v>246</v>
      </c>
      <c r="W2" s="2" t="s">
        <v>19</v>
      </c>
      <c r="X2" s="2" t="s">
        <v>978</v>
      </c>
      <c r="Y2" s="2" t="s">
        <v>1004</v>
      </c>
      <c r="Z2" s="2" t="s">
        <v>1052</v>
      </c>
      <c r="AA2" s="2" t="s">
        <v>1073</v>
      </c>
      <c r="AB2" s="2" t="s">
        <v>1103</v>
      </c>
      <c r="AC2" s="2" t="s">
        <v>1145</v>
      </c>
      <c r="AD2" s="2" t="s">
        <v>1169</v>
      </c>
      <c r="AE2" s="2" t="s">
        <v>1184</v>
      </c>
      <c r="AF2" s="2" t="s">
        <v>295</v>
      </c>
      <c r="AG2" s="2" t="s">
        <v>300</v>
      </c>
      <c r="AH2" s="2" t="s">
        <v>305</v>
      </c>
    </row>
    <row r="3" spans="1:34">
      <c r="A3" s="3"/>
      <c r="B3" s="3"/>
      <c r="C3" s="2" t="s">
        <v>155</v>
      </c>
      <c r="D3" s="2" t="s">
        <v>212</v>
      </c>
      <c r="E3" s="2" t="s">
        <v>266</v>
      </c>
      <c r="F3" s="2" t="s">
        <v>321</v>
      </c>
      <c r="G3" s="2" t="s">
        <v>377</v>
      </c>
      <c r="H3" s="2" t="s">
        <v>408</v>
      </c>
      <c r="I3" s="3"/>
      <c r="J3" s="2" t="s">
        <v>449</v>
      </c>
      <c r="K3" s="2" t="s">
        <v>488</v>
      </c>
      <c r="L3" s="2" t="s">
        <v>521</v>
      </c>
      <c r="M3" s="2" t="s">
        <v>570</v>
      </c>
      <c r="N3" s="2" t="s">
        <v>597</v>
      </c>
      <c r="O3" s="2" t="s">
        <v>630</v>
      </c>
      <c r="P3" s="2" t="s">
        <v>678</v>
      </c>
      <c r="Q3" s="2" t="s">
        <v>729</v>
      </c>
      <c r="R3" s="2" t="s">
        <v>770</v>
      </c>
      <c r="S3" s="2" t="s">
        <v>812</v>
      </c>
      <c r="T3" s="2" t="s">
        <v>875</v>
      </c>
      <c r="U3" s="2" t="s">
        <v>915</v>
      </c>
      <c r="V3" s="3"/>
      <c r="W3" s="2" t="s">
        <v>921</v>
      </c>
      <c r="X3" s="2" t="s">
        <v>981</v>
      </c>
      <c r="Y3" s="2" t="s">
        <v>1007</v>
      </c>
      <c r="Z3" s="2" t="s">
        <v>1055</v>
      </c>
      <c r="AA3" s="2" t="s">
        <v>1076</v>
      </c>
      <c r="AB3" s="2" t="s">
        <v>1106</v>
      </c>
      <c r="AC3" s="2" t="s">
        <v>1148</v>
      </c>
      <c r="AD3" s="2" t="s">
        <v>1172</v>
      </c>
      <c r="AE3" s="2" t="s">
        <v>1187</v>
      </c>
      <c r="AF3" s="3"/>
      <c r="AG3" s="3"/>
      <c r="AH3" s="3"/>
    </row>
    <row r="4" spans="1:34">
      <c r="A4" s="3"/>
      <c r="B4" s="3"/>
      <c r="C4" s="2" t="s">
        <v>161</v>
      </c>
      <c r="D4" s="2" t="s">
        <v>217</v>
      </c>
      <c r="E4" s="2" t="s">
        <v>271</v>
      </c>
      <c r="F4" s="2" t="s">
        <v>325</v>
      </c>
      <c r="G4" s="2" t="s">
        <v>381</v>
      </c>
      <c r="H4" s="2" t="s">
        <v>411</v>
      </c>
      <c r="I4" s="3"/>
      <c r="J4" s="2" t="s">
        <v>452</v>
      </c>
      <c r="K4" s="2" t="s">
        <v>491</v>
      </c>
      <c r="L4" s="2" t="s">
        <v>524</v>
      </c>
      <c r="M4" s="2" t="s">
        <v>573</v>
      </c>
      <c r="N4" s="2" t="s">
        <v>600</v>
      </c>
      <c r="O4" s="2" t="s">
        <v>633</v>
      </c>
      <c r="P4" s="2" t="s">
        <v>681</v>
      </c>
      <c r="Q4" s="2" t="s">
        <v>732</v>
      </c>
      <c r="R4" s="2" t="s">
        <v>773</v>
      </c>
      <c r="S4" s="2" t="s">
        <v>815</v>
      </c>
      <c r="T4" s="2" t="s">
        <v>878</v>
      </c>
      <c r="U4" s="3"/>
      <c r="V4" s="3"/>
      <c r="W4" s="2" t="s">
        <v>923</v>
      </c>
      <c r="X4" s="2" t="s">
        <v>984</v>
      </c>
      <c r="Y4" s="2" t="s">
        <v>1010</v>
      </c>
      <c r="Z4" s="2" t="s">
        <v>1058</v>
      </c>
      <c r="AA4" s="2" t="s">
        <v>1079</v>
      </c>
      <c r="AB4" s="2" t="s">
        <v>1109</v>
      </c>
      <c r="AC4" s="2" t="s">
        <v>1151</v>
      </c>
      <c r="AD4" s="2" t="s">
        <v>1175</v>
      </c>
      <c r="AE4" s="2" t="s">
        <v>1190</v>
      </c>
      <c r="AF4" s="3"/>
      <c r="AG4" s="3"/>
      <c r="AH4" s="3"/>
    </row>
    <row r="5" spans="1:34">
      <c r="A5" s="3"/>
      <c r="B5" s="3"/>
      <c r="C5" s="2" t="s">
        <v>166</v>
      </c>
      <c r="D5" s="2" t="s">
        <v>222</v>
      </c>
      <c r="E5" s="2" t="s">
        <v>276</v>
      </c>
      <c r="F5" s="2" t="s">
        <v>329</v>
      </c>
      <c r="G5" s="2" t="s">
        <v>385</v>
      </c>
      <c r="H5" s="2" t="s">
        <v>414</v>
      </c>
      <c r="I5" s="3"/>
      <c r="J5" s="2" t="s">
        <v>455</v>
      </c>
      <c r="K5" s="2" t="s">
        <v>494</v>
      </c>
      <c r="L5" s="2" t="s">
        <v>526</v>
      </c>
      <c r="M5" s="2" t="s">
        <v>576</v>
      </c>
      <c r="N5" s="2" t="s">
        <v>603</v>
      </c>
      <c r="O5" s="2" t="s">
        <v>636</v>
      </c>
      <c r="P5" s="2" t="s">
        <v>684</v>
      </c>
      <c r="Q5" s="2" t="s">
        <v>735</v>
      </c>
      <c r="R5" s="2" t="s">
        <v>776</v>
      </c>
      <c r="S5" s="2" t="s">
        <v>818</v>
      </c>
      <c r="T5" s="2" t="s">
        <v>881</v>
      </c>
      <c r="U5" s="3"/>
      <c r="V5" s="3"/>
      <c r="W5" s="2" t="s">
        <v>926</v>
      </c>
      <c r="X5" s="2" t="s">
        <v>987</v>
      </c>
      <c r="Y5" s="2" t="s">
        <v>1013</v>
      </c>
      <c r="Z5" s="2" t="s">
        <v>1061</v>
      </c>
      <c r="AA5" s="2" t="s">
        <v>1082</v>
      </c>
      <c r="AB5" s="2" t="s">
        <v>1112</v>
      </c>
      <c r="AC5" s="2" t="s">
        <v>1154</v>
      </c>
      <c r="AD5" s="2" t="s">
        <v>1178</v>
      </c>
      <c r="AE5" s="2" t="s">
        <v>1193</v>
      </c>
      <c r="AF5" s="3"/>
      <c r="AG5" s="3"/>
      <c r="AH5" s="3"/>
    </row>
    <row r="6" spans="1:34">
      <c r="A6" s="3"/>
      <c r="B6" s="3"/>
      <c r="C6" s="2" t="s">
        <v>171</v>
      </c>
      <c r="D6" s="2" t="s">
        <v>227</v>
      </c>
      <c r="E6" s="2" t="s">
        <v>281</v>
      </c>
      <c r="F6" s="2" t="s">
        <v>333</v>
      </c>
      <c r="G6" s="2" t="s">
        <v>389</v>
      </c>
      <c r="H6" s="2" t="s">
        <v>417</v>
      </c>
      <c r="I6" s="3"/>
      <c r="J6" s="2" t="s">
        <v>458</v>
      </c>
      <c r="K6" s="2" t="s">
        <v>497</v>
      </c>
      <c r="L6" s="2" t="s">
        <v>528</v>
      </c>
      <c r="M6" s="2" t="s">
        <v>579</v>
      </c>
      <c r="N6" s="2" t="s">
        <v>606</v>
      </c>
      <c r="O6" s="2" t="s">
        <v>639</v>
      </c>
      <c r="P6" s="2" t="s">
        <v>687</v>
      </c>
      <c r="Q6" s="2" t="s">
        <v>737</v>
      </c>
      <c r="R6" s="2" t="s">
        <v>779</v>
      </c>
      <c r="S6" s="2" t="s">
        <v>821</v>
      </c>
      <c r="T6" s="2" t="s">
        <v>884</v>
      </c>
      <c r="U6" s="3"/>
      <c r="V6" s="3"/>
      <c r="W6" s="2" t="s">
        <v>929</v>
      </c>
      <c r="X6" s="2" t="s">
        <v>990</v>
      </c>
      <c r="Y6" s="2" t="s">
        <v>1016</v>
      </c>
      <c r="Z6" s="2" t="s">
        <v>1064</v>
      </c>
      <c r="AA6" s="2" t="s">
        <v>1085</v>
      </c>
      <c r="AB6" s="2" t="s">
        <v>1115</v>
      </c>
      <c r="AC6" s="2" t="s">
        <v>1157</v>
      </c>
      <c r="AD6" s="2" t="s">
        <v>1181</v>
      </c>
      <c r="AE6" s="2" t="s">
        <v>1196</v>
      </c>
      <c r="AF6" s="3"/>
      <c r="AG6" s="3"/>
      <c r="AH6" s="3"/>
    </row>
    <row r="7" spans="1:34">
      <c r="A7" s="3"/>
      <c r="B7" s="3"/>
      <c r="C7" s="2" t="s">
        <v>176</v>
      </c>
      <c r="D7" s="2" t="s">
        <v>232</v>
      </c>
      <c r="E7" s="2" t="s">
        <v>286</v>
      </c>
      <c r="F7" s="2" t="s">
        <v>337</v>
      </c>
      <c r="G7" s="2" t="s">
        <v>393</v>
      </c>
      <c r="H7" s="2" t="s">
        <v>420</v>
      </c>
      <c r="I7" s="3"/>
      <c r="J7" s="2" t="s">
        <v>461</v>
      </c>
      <c r="K7" s="2" t="s">
        <v>500</v>
      </c>
      <c r="L7" s="2" t="s">
        <v>531</v>
      </c>
      <c r="M7" s="2" t="s">
        <v>582</v>
      </c>
      <c r="N7" s="2" t="s">
        <v>609</v>
      </c>
      <c r="O7" s="2" t="s">
        <v>642</v>
      </c>
      <c r="P7" s="2" t="s">
        <v>690</v>
      </c>
      <c r="Q7" s="2" t="s">
        <v>740</v>
      </c>
      <c r="R7" s="2" t="s">
        <v>782</v>
      </c>
      <c r="S7" s="2" t="s">
        <v>824</v>
      </c>
      <c r="T7" s="2" t="s">
        <v>887</v>
      </c>
      <c r="U7" s="3"/>
      <c r="V7" s="3"/>
      <c r="W7" s="2" t="s">
        <v>932</v>
      </c>
      <c r="X7" s="2" t="s">
        <v>993</v>
      </c>
      <c r="Y7" s="2" t="s">
        <v>1019</v>
      </c>
      <c r="Z7" s="2" t="s">
        <v>1067</v>
      </c>
      <c r="AA7" s="2" t="s">
        <v>1088</v>
      </c>
      <c r="AB7" s="2" t="s">
        <v>1118</v>
      </c>
      <c r="AC7" s="2" t="s">
        <v>1160</v>
      </c>
      <c r="AD7" s="3"/>
      <c r="AE7" s="2" t="s">
        <v>1199</v>
      </c>
      <c r="AF7" s="3"/>
      <c r="AG7" s="3"/>
      <c r="AH7" s="3"/>
    </row>
    <row r="8" spans="1:34">
      <c r="A8" s="3"/>
      <c r="B8" s="3"/>
      <c r="C8" s="2" t="s">
        <v>181</v>
      </c>
      <c r="D8" s="2" t="s">
        <v>237</v>
      </c>
      <c r="E8" s="2" t="s">
        <v>291</v>
      </c>
      <c r="F8" s="2" t="s">
        <v>341</v>
      </c>
      <c r="G8" s="2" t="s">
        <v>396</v>
      </c>
      <c r="H8" s="2" t="s">
        <v>423</v>
      </c>
      <c r="I8" s="3"/>
      <c r="J8" s="2" t="s">
        <v>464</v>
      </c>
      <c r="K8" s="2" t="s">
        <v>503</v>
      </c>
      <c r="L8" s="2" t="s">
        <v>534</v>
      </c>
      <c r="M8" s="2" t="s">
        <v>585</v>
      </c>
      <c r="N8" s="2" t="s">
        <v>612</v>
      </c>
      <c r="O8" s="2" t="s">
        <v>645</v>
      </c>
      <c r="P8" s="2" t="s">
        <v>693</v>
      </c>
      <c r="Q8" s="2" t="s">
        <v>743</v>
      </c>
      <c r="R8" s="2" t="s">
        <v>785</v>
      </c>
      <c r="S8" s="2" t="s">
        <v>827</v>
      </c>
      <c r="T8" s="2" t="s">
        <v>890</v>
      </c>
      <c r="U8" s="3"/>
      <c r="V8" s="3"/>
      <c r="W8" s="2" t="s">
        <v>935</v>
      </c>
      <c r="X8" s="2" t="s">
        <v>996</v>
      </c>
      <c r="Y8" s="2" t="s">
        <v>1022</v>
      </c>
      <c r="Z8" s="2" t="s">
        <v>1070</v>
      </c>
      <c r="AA8" s="2" t="s">
        <v>1091</v>
      </c>
      <c r="AB8" s="2" t="s">
        <v>1121</v>
      </c>
      <c r="AC8" s="2" t="s">
        <v>1163</v>
      </c>
      <c r="AD8" s="3"/>
      <c r="AE8" s="2" t="s">
        <v>1202</v>
      </c>
      <c r="AF8" s="3"/>
      <c r="AG8" s="3"/>
      <c r="AH8" s="3"/>
    </row>
    <row r="9" spans="1:34">
      <c r="A9" s="3"/>
      <c r="B9" s="3"/>
      <c r="C9" s="2" t="s">
        <v>186</v>
      </c>
      <c r="D9" s="2" t="s">
        <v>242</v>
      </c>
      <c r="E9" s="2" t="s">
        <v>296</v>
      </c>
      <c r="F9" s="2" t="s">
        <v>345</v>
      </c>
      <c r="G9" s="2" t="s">
        <v>399</v>
      </c>
      <c r="H9" s="2" t="s">
        <v>426</v>
      </c>
      <c r="I9" s="3"/>
      <c r="J9" s="2" t="s">
        <v>467</v>
      </c>
      <c r="K9" s="2" t="s">
        <v>506</v>
      </c>
      <c r="L9" s="2" t="s">
        <v>537</v>
      </c>
      <c r="M9" s="2" t="s">
        <v>588</v>
      </c>
      <c r="N9" s="2" t="s">
        <v>615</v>
      </c>
      <c r="O9" s="2" t="s">
        <v>648</v>
      </c>
      <c r="P9" s="2" t="s">
        <v>696</v>
      </c>
      <c r="Q9" s="2" t="s">
        <v>746</v>
      </c>
      <c r="R9" s="2" t="s">
        <v>788</v>
      </c>
      <c r="S9" s="2" t="s">
        <v>830</v>
      </c>
      <c r="T9" s="2" t="s">
        <v>893</v>
      </c>
      <c r="U9" s="3"/>
      <c r="V9" s="3"/>
      <c r="W9" s="2" t="s">
        <v>22</v>
      </c>
      <c r="X9" s="2" t="s">
        <v>999</v>
      </c>
      <c r="Y9" s="2" t="s">
        <v>1025</v>
      </c>
      <c r="Z9" s="3"/>
      <c r="AA9" s="2" t="s">
        <v>1094</v>
      </c>
      <c r="AB9" s="2" t="s">
        <v>1124</v>
      </c>
      <c r="AC9" s="2" t="s">
        <v>1166</v>
      </c>
      <c r="AD9" s="3"/>
      <c r="AE9" s="2" t="s">
        <v>1205</v>
      </c>
      <c r="AF9" s="3"/>
      <c r="AG9" s="3"/>
      <c r="AH9" s="3"/>
    </row>
    <row r="10" spans="1:34">
      <c r="A10" s="3"/>
      <c r="B10" s="3"/>
      <c r="C10" s="2" t="s">
        <v>191</v>
      </c>
      <c r="D10" s="2" t="s">
        <v>247</v>
      </c>
      <c r="E10" s="2" t="s">
        <v>301</v>
      </c>
      <c r="F10" s="2" t="s">
        <v>349</v>
      </c>
      <c r="G10" s="2" t="s">
        <v>402</v>
      </c>
      <c r="H10" s="2" t="s">
        <v>429</v>
      </c>
      <c r="I10" s="3"/>
      <c r="J10" s="2" t="s">
        <v>470</v>
      </c>
      <c r="K10" s="2" t="s">
        <v>509</v>
      </c>
      <c r="L10" s="2" t="s">
        <v>540</v>
      </c>
      <c r="M10" s="2" t="s">
        <v>591</v>
      </c>
      <c r="N10" s="2" t="s">
        <v>618</v>
      </c>
      <c r="O10" s="2" t="s">
        <v>651</v>
      </c>
      <c r="P10" s="2" t="s">
        <v>699</v>
      </c>
      <c r="Q10" s="2" t="s">
        <v>749</v>
      </c>
      <c r="R10" s="2" t="s">
        <v>791</v>
      </c>
      <c r="S10" s="2" t="s">
        <v>833</v>
      </c>
      <c r="T10" s="2" t="s">
        <v>896</v>
      </c>
      <c r="U10" s="3"/>
      <c r="V10" s="3"/>
      <c r="W10" s="2" t="s">
        <v>940</v>
      </c>
      <c r="X10" s="2" t="s">
        <v>1001</v>
      </c>
      <c r="Y10" s="2" t="s">
        <v>1028</v>
      </c>
      <c r="Z10" s="3"/>
      <c r="AA10" s="2" t="s">
        <v>1097</v>
      </c>
      <c r="AB10" s="2" t="s">
        <v>1127</v>
      </c>
      <c r="AC10" s="3"/>
      <c r="AD10" s="3"/>
      <c r="AE10" s="2" t="s">
        <v>1208</v>
      </c>
      <c r="AF10" s="3"/>
      <c r="AG10" s="3"/>
      <c r="AH10" s="3"/>
    </row>
    <row r="11" spans="1:34">
      <c r="A11" s="3"/>
      <c r="B11" s="3"/>
      <c r="C11" s="2" t="s">
        <v>196</v>
      </c>
      <c r="D11" s="2" t="s">
        <v>251</v>
      </c>
      <c r="E11" s="2" t="s">
        <v>306</v>
      </c>
      <c r="F11" s="2" t="s">
        <v>353</v>
      </c>
      <c r="G11" s="3"/>
      <c r="H11" s="2" t="s">
        <v>432</v>
      </c>
      <c r="I11" s="3"/>
      <c r="J11" s="2" t="s">
        <v>473</v>
      </c>
      <c r="K11" s="2" t="s">
        <v>512</v>
      </c>
      <c r="L11" s="2" t="s">
        <v>543</v>
      </c>
      <c r="M11" s="3"/>
      <c r="N11" s="2" t="s">
        <v>621</v>
      </c>
      <c r="O11" s="2" t="s">
        <v>654</v>
      </c>
      <c r="P11" s="2" t="s">
        <v>702</v>
      </c>
      <c r="Q11" s="2" t="s">
        <v>752</v>
      </c>
      <c r="R11" s="2" t="s">
        <v>794</v>
      </c>
      <c r="S11" s="2" t="s">
        <v>836</v>
      </c>
      <c r="T11" s="2" t="s">
        <v>899</v>
      </c>
      <c r="U11" s="3"/>
      <c r="V11" s="3"/>
      <c r="W11" s="2" t="s">
        <v>943</v>
      </c>
      <c r="X11" s="3"/>
      <c r="Y11" s="2" t="s">
        <v>1031</v>
      </c>
      <c r="Z11" s="3"/>
      <c r="AA11" s="2" t="s">
        <v>1100</v>
      </c>
      <c r="AB11" s="2" t="s">
        <v>1130</v>
      </c>
      <c r="AC11" s="3"/>
      <c r="AD11" s="3"/>
      <c r="AE11" s="2" t="s">
        <v>1211</v>
      </c>
      <c r="AF11" s="3"/>
      <c r="AG11" s="3"/>
      <c r="AH11" s="3"/>
    </row>
    <row r="12" spans="1:34">
      <c r="A12" s="3"/>
      <c r="B12" s="3"/>
      <c r="C12" s="2" t="s">
        <v>202</v>
      </c>
      <c r="D12" s="2" t="s">
        <v>256</v>
      </c>
      <c r="E12" s="2" t="s">
        <v>310</v>
      </c>
      <c r="F12" s="2" t="s">
        <v>357</v>
      </c>
      <c r="G12" s="3"/>
      <c r="H12" s="2" t="s">
        <v>435</v>
      </c>
      <c r="I12" s="3"/>
      <c r="J12" s="2" t="s">
        <v>476</v>
      </c>
      <c r="K12" s="2" t="s">
        <v>515</v>
      </c>
      <c r="L12" s="2" t="s">
        <v>546</v>
      </c>
      <c r="M12" s="3"/>
      <c r="N12" s="2" t="s">
        <v>624</v>
      </c>
      <c r="O12" s="2" t="s">
        <v>656</v>
      </c>
      <c r="P12" s="2" t="s">
        <v>705</v>
      </c>
      <c r="Q12" s="2" t="s">
        <v>755</v>
      </c>
      <c r="R12" s="2" t="s">
        <v>797</v>
      </c>
      <c r="S12" s="2" t="s">
        <v>839</v>
      </c>
      <c r="T12" s="2" t="s">
        <v>902</v>
      </c>
      <c r="U12" s="3"/>
      <c r="V12" s="3"/>
      <c r="W12" s="2" t="s">
        <v>946</v>
      </c>
      <c r="X12" s="3"/>
      <c r="Y12" s="2" t="s">
        <v>1034</v>
      </c>
      <c r="Z12" s="3"/>
      <c r="AA12" s="3"/>
      <c r="AB12" s="2" t="s">
        <v>1133</v>
      </c>
      <c r="AC12" s="3"/>
      <c r="AD12" s="3"/>
      <c r="AE12" s="2" t="s">
        <v>1214</v>
      </c>
      <c r="AF12" s="3"/>
      <c r="AG12" s="3"/>
      <c r="AH12" s="3"/>
    </row>
    <row r="13" spans="1:34">
      <c r="A13" s="3"/>
      <c r="B13" s="3"/>
      <c r="C13" s="3"/>
      <c r="D13" s="3"/>
      <c r="E13" s="2" t="s">
        <v>314</v>
      </c>
      <c r="F13" s="2" t="s">
        <v>361</v>
      </c>
      <c r="G13" s="3"/>
      <c r="H13" s="2" t="s">
        <v>438</v>
      </c>
      <c r="I13" s="3"/>
      <c r="J13" s="2" t="s">
        <v>479</v>
      </c>
      <c r="K13" s="3"/>
      <c r="L13" s="2" t="s">
        <v>549</v>
      </c>
      <c r="M13" s="3"/>
      <c r="N13" s="3"/>
      <c r="O13" s="2" t="s">
        <v>658</v>
      </c>
      <c r="P13" s="2" t="s">
        <v>708</v>
      </c>
      <c r="Q13" s="2" t="s">
        <v>758</v>
      </c>
      <c r="R13" s="2" t="s">
        <v>800</v>
      </c>
      <c r="S13" s="2" t="s">
        <v>842</v>
      </c>
      <c r="T13" s="2" t="s">
        <v>905</v>
      </c>
      <c r="U13" s="3"/>
      <c r="V13" s="3"/>
      <c r="W13" s="2" t="s">
        <v>949</v>
      </c>
      <c r="X13" s="3"/>
      <c r="Y13" s="2" t="s">
        <v>1037</v>
      </c>
      <c r="Z13" s="3"/>
      <c r="AA13" s="3"/>
      <c r="AB13" s="2" t="s">
        <v>1136</v>
      </c>
      <c r="AC13" s="3"/>
      <c r="AD13" s="3"/>
      <c r="AE13" s="2" t="s">
        <v>1217</v>
      </c>
      <c r="AF13" s="3"/>
      <c r="AG13" s="3"/>
      <c r="AH13" s="3"/>
    </row>
    <row r="14" spans="1:34">
      <c r="A14" s="3"/>
      <c r="B14" s="3"/>
      <c r="C14" s="3"/>
      <c r="D14" s="3"/>
      <c r="E14" s="3"/>
      <c r="F14" s="2" t="s">
        <v>365</v>
      </c>
      <c r="G14" s="3"/>
      <c r="H14" s="2" t="s">
        <v>441</v>
      </c>
      <c r="I14" s="3"/>
      <c r="J14" s="2" t="s">
        <v>482</v>
      </c>
      <c r="K14" s="3"/>
      <c r="L14" s="2" t="s">
        <v>552</v>
      </c>
      <c r="M14" s="3"/>
      <c r="N14" s="3"/>
      <c r="O14" s="2" t="s">
        <v>661</v>
      </c>
      <c r="P14" s="2" t="s">
        <v>711</v>
      </c>
      <c r="Q14" s="2" t="s">
        <v>761</v>
      </c>
      <c r="R14" s="2" t="s">
        <v>803</v>
      </c>
      <c r="S14" s="2" t="s">
        <v>845</v>
      </c>
      <c r="T14" s="2" t="s">
        <v>908</v>
      </c>
      <c r="U14" s="3"/>
      <c r="V14" s="3"/>
      <c r="W14" s="2" t="s">
        <v>952</v>
      </c>
      <c r="X14" s="3"/>
      <c r="Y14" s="2" t="s">
        <v>1040</v>
      </c>
      <c r="Z14" s="3"/>
      <c r="AA14" s="3"/>
      <c r="AB14" s="2" t="s">
        <v>1139</v>
      </c>
      <c r="AC14" s="3"/>
      <c r="AD14" s="3"/>
      <c r="AE14" s="2" t="s">
        <v>1220</v>
      </c>
      <c r="AF14" s="3"/>
      <c r="AG14" s="3"/>
      <c r="AH14" s="3"/>
    </row>
    <row r="15" spans="1:34">
      <c r="A15" s="3"/>
      <c r="B15" s="3"/>
      <c r="C15" s="3"/>
      <c r="D15" s="3"/>
      <c r="E15" s="3"/>
      <c r="F15" s="2" t="s">
        <v>369</v>
      </c>
      <c r="G15" s="3"/>
      <c r="H15" s="3"/>
      <c r="I15" s="3"/>
      <c r="J15" s="3"/>
      <c r="K15" s="3"/>
      <c r="L15" s="2" t="s">
        <v>555</v>
      </c>
      <c r="M15" s="3"/>
      <c r="N15" s="3"/>
      <c r="O15" s="2" t="s">
        <v>664</v>
      </c>
      <c r="P15" s="2" t="s">
        <v>714</v>
      </c>
      <c r="Q15" s="2" t="s">
        <v>764</v>
      </c>
      <c r="R15" s="2" t="s">
        <v>806</v>
      </c>
      <c r="S15" s="2" t="s">
        <v>848</v>
      </c>
      <c r="T15" s="2" t="s">
        <v>910</v>
      </c>
      <c r="U15" s="3"/>
      <c r="V15" s="3"/>
      <c r="W15" s="2" t="s">
        <v>955</v>
      </c>
      <c r="X15" s="3"/>
      <c r="Y15" s="2" t="s">
        <v>1043</v>
      </c>
      <c r="Z15" s="3"/>
      <c r="AA15" s="3"/>
      <c r="AB15" s="2" t="s">
        <v>1142</v>
      </c>
      <c r="AC15" s="3"/>
      <c r="AD15" s="3"/>
      <c r="AE15" s="2" t="s">
        <v>1223</v>
      </c>
      <c r="AF15" s="3"/>
      <c r="AG15" s="3"/>
      <c r="AH15" s="3"/>
    </row>
    <row r="16" spans="1:34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2" t="s">
        <v>558</v>
      </c>
      <c r="M16" s="3"/>
      <c r="N16" s="3"/>
      <c r="O16" s="2" t="s">
        <v>667</v>
      </c>
      <c r="P16" s="2" t="s">
        <v>717</v>
      </c>
      <c r="Q16" s="3"/>
      <c r="R16" s="3"/>
      <c r="S16" s="2" t="s">
        <v>851</v>
      </c>
      <c r="T16" s="3"/>
      <c r="U16" s="3"/>
      <c r="V16" s="3"/>
      <c r="W16" s="2" t="s">
        <v>957</v>
      </c>
      <c r="X16" s="3"/>
      <c r="Y16" s="2" t="s">
        <v>1046</v>
      </c>
      <c r="Z16" s="3"/>
      <c r="AA16" s="3"/>
      <c r="AB16" s="3"/>
      <c r="AC16" s="3"/>
      <c r="AD16" s="3"/>
      <c r="AE16" s="2" t="s">
        <v>1226</v>
      </c>
      <c r="AF16" s="3"/>
      <c r="AG16" s="3"/>
      <c r="AH16" s="3"/>
    </row>
    <row r="17" spans="1:34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2" t="s">
        <v>561</v>
      </c>
      <c r="M17" s="3"/>
      <c r="N17" s="3"/>
      <c r="O17" s="2" t="s">
        <v>670</v>
      </c>
      <c r="P17" s="2" t="s">
        <v>720</v>
      </c>
      <c r="Q17" s="3"/>
      <c r="R17" s="3"/>
      <c r="S17" s="2" t="s">
        <v>854</v>
      </c>
      <c r="T17" s="3"/>
      <c r="U17" s="3"/>
      <c r="V17" s="3"/>
      <c r="W17" s="2" t="s">
        <v>960</v>
      </c>
      <c r="X17" s="3"/>
      <c r="Y17" s="2" t="s">
        <v>1049</v>
      </c>
      <c r="Z17" s="3"/>
      <c r="AA17" s="3"/>
      <c r="AB17" s="3"/>
      <c r="AC17" s="3"/>
      <c r="AD17" s="3"/>
      <c r="AE17" s="2" t="s">
        <v>1229</v>
      </c>
      <c r="AF17" s="3"/>
      <c r="AG17" s="3"/>
      <c r="AH17" s="3"/>
    </row>
    <row r="18" spans="1:3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2" t="s">
        <v>564</v>
      </c>
      <c r="M18" s="3"/>
      <c r="N18" s="3"/>
      <c r="O18" s="2" t="s">
        <v>673</v>
      </c>
      <c r="P18" s="2" t="s">
        <v>723</v>
      </c>
      <c r="Q18" s="3"/>
      <c r="R18" s="3"/>
      <c r="S18" s="2" t="s">
        <v>857</v>
      </c>
      <c r="T18" s="3"/>
      <c r="U18" s="3"/>
      <c r="V18" s="3"/>
      <c r="W18" s="2" t="s">
        <v>963</v>
      </c>
      <c r="X18" s="3"/>
      <c r="Y18" s="3"/>
      <c r="Z18" s="3"/>
      <c r="AA18" s="3"/>
      <c r="AB18" s="3"/>
      <c r="AC18" s="3"/>
      <c r="AD18" s="3"/>
      <c r="AE18" s="2" t="s">
        <v>1232</v>
      </c>
      <c r="AF18" s="3"/>
      <c r="AG18" s="3"/>
      <c r="AH18" s="3"/>
    </row>
    <row r="19" spans="1:34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2" t="s">
        <v>860</v>
      </c>
      <c r="T19" s="3"/>
      <c r="U19" s="3"/>
      <c r="V19" s="3"/>
      <c r="W19" s="2" t="s">
        <v>966</v>
      </c>
      <c r="X19" s="3"/>
      <c r="Y19" s="3"/>
      <c r="Z19" s="3"/>
      <c r="AA19" s="3"/>
      <c r="AB19" s="3"/>
      <c r="AC19" s="3"/>
      <c r="AD19" s="3"/>
      <c r="AE19" s="2" t="s">
        <v>1235</v>
      </c>
      <c r="AF19" s="3"/>
      <c r="AG19" s="3"/>
      <c r="AH19" s="3"/>
    </row>
    <row r="20" spans="1:3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2" t="s">
        <v>863</v>
      </c>
      <c r="T20" s="3"/>
      <c r="U20" s="3"/>
      <c r="V20" s="3"/>
      <c r="W20" s="2" t="s">
        <v>969</v>
      </c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</row>
    <row r="21" spans="1:34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2" t="s">
        <v>866</v>
      </c>
      <c r="T21" s="3"/>
      <c r="U21" s="3"/>
      <c r="V21" s="3"/>
      <c r="W21" s="2" t="s">
        <v>972</v>
      </c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</row>
    <row r="22" spans="1:34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2" t="s">
        <v>869</v>
      </c>
      <c r="T22" s="3"/>
      <c r="U22" s="3"/>
      <c r="V22" s="3"/>
      <c r="W22" s="2" t="s">
        <v>975</v>
      </c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</row>
    <row r="23" spans="1:34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</row>
    <row r="24" spans="1:34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</row>
    <row r="25" spans="1:34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</row>
    <row r="26" spans="1:34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</row>
    <row r="27" spans="1:34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</row>
  </sheetData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W41"/>
  <sheetViews>
    <sheetView showGridLines="0" workbookViewId="0">
      <selection activeCell="C32" sqref="C32"/>
    </sheetView>
  </sheetViews>
  <sheetFormatPr defaultColWidth="9" defaultRowHeight="14.4"/>
  <cols>
    <col min="1" max="335" width="11.6296296296296" customWidth="1"/>
  </cols>
  <sheetData>
    <row r="1" spans="1:335">
      <c r="A1" s="1" t="s">
        <v>429</v>
      </c>
      <c r="B1" s="1" t="s">
        <v>915</v>
      </c>
      <c r="C1" s="1" t="s">
        <v>576</v>
      </c>
      <c r="D1" s="1" t="s">
        <v>708</v>
      </c>
      <c r="E1" s="1" t="s">
        <v>180</v>
      </c>
      <c r="F1" s="1" t="s">
        <v>624</v>
      </c>
      <c r="G1" s="1" t="s">
        <v>639</v>
      </c>
      <c r="H1" s="1" t="s">
        <v>1181</v>
      </c>
      <c r="I1" s="1" t="s">
        <v>1139</v>
      </c>
      <c r="J1" s="1" t="s">
        <v>251</v>
      </c>
      <c r="K1" s="1" t="s">
        <v>661</v>
      </c>
      <c r="L1" s="1" t="s">
        <v>1025</v>
      </c>
      <c r="M1" s="1" t="s">
        <v>337</v>
      </c>
      <c r="N1" s="1" t="s">
        <v>515</v>
      </c>
      <c r="O1" s="1" t="s">
        <v>1019</v>
      </c>
      <c r="P1" s="1" t="s">
        <v>301</v>
      </c>
      <c r="Q1" s="1" t="s">
        <v>271</v>
      </c>
      <c r="R1" s="1" t="s">
        <v>1184</v>
      </c>
      <c r="S1" s="1" t="s">
        <v>943</v>
      </c>
      <c r="T1" s="1" t="s">
        <v>603</v>
      </c>
      <c r="U1" s="1" t="s">
        <v>869</v>
      </c>
      <c r="V1" s="1" t="s">
        <v>558</v>
      </c>
      <c r="W1" s="1" t="s">
        <v>423</v>
      </c>
      <c r="X1" s="1" t="s">
        <v>1217</v>
      </c>
      <c r="Y1" s="1" t="s">
        <v>824</v>
      </c>
      <c r="Z1" s="1" t="s">
        <v>426</v>
      </c>
      <c r="AA1" s="1" t="s">
        <v>176</v>
      </c>
      <c r="AB1" s="1" t="s">
        <v>1013</v>
      </c>
      <c r="AC1" s="1" t="s">
        <v>717</v>
      </c>
      <c r="AD1" s="1" t="s">
        <v>1208</v>
      </c>
      <c r="AE1" s="1" t="s">
        <v>1187</v>
      </c>
      <c r="AF1" s="1" t="s">
        <v>555</v>
      </c>
      <c r="AG1" s="1" t="s">
        <v>981</v>
      </c>
      <c r="AH1" s="1" t="s">
        <v>1103</v>
      </c>
      <c r="AI1" s="1" t="s">
        <v>306</v>
      </c>
      <c r="AJ1" s="1" t="s">
        <v>940</v>
      </c>
      <c r="AK1" s="1" t="s">
        <v>975</v>
      </c>
      <c r="AL1" s="1" t="s">
        <v>266</v>
      </c>
      <c r="AM1" s="1" t="s">
        <v>130</v>
      </c>
      <c r="AN1" s="1" t="s">
        <v>884</v>
      </c>
      <c r="AO1" s="1" t="s">
        <v>732</v>
      </c>
      <c r="AP1" s="1" t="s">
        <v>446</v>
      </c>
      <c r="AQ1" s="1" t="s">
        <v>946</v>
      </c>
      <c r="AR1" s="1" t="s">
        <v>872</v>
      </c>
      <c r="AS1" s="1" t="s">
        <v>585</v>
      </c>
      <c r="AT1" s="1" t="s">
        <v>594</v>
      </c>
      <c r="AU1" s="1" t="s">
        <v>461</v>
      </c>
      <c r="AV1" s="1" t="s">
        <v>711</v>
      </c>
      <c r="AW1" s="1" t="s">
        <v>1199</v>
      </c>
      <c r="AX1" s="1" t="s">
        <v>570</v>
      </c>
      <c r="AY1" s="1" t="s">
        <v>417</v>
      </c>
      <c r="AZ1" s="1" t="s">
        <v>512</v>
      </c>
      <c r="BA1" s="1" t="s">
        <v>518</v>
      </c>
      <c r="BB1" s="1" t="s">
        <v>615</v>
      </c>
      <c r="BC1" s="1" t="s">
        <v>377</v>
      </c>
      <c r="BD1" s="1" t="s">
        <v>1190</v>
      </c>
      <c r="BE1" s="1" t="s">
        <v>256</v>
      </c>
      <c r="BF1" s="1" t="s">
        <v>1175</v>
      </c>
      <c r="BG1" s="1" t="s">
        <v>720</v>
      </c>
      <c r="BH1" s="1" t="s">
        <v>291</v>
      </c>
      <c r="BI1" s="1" t="s">
        <v>261</v>
      </c>
      <c r="BJ1" s="1" t="s">
        <v>1214</v>
      </c>
      <c r="BK1" s="1" t="s">
        <v>755</v>
      </c>
      <c r="BL1" s="1" t="s">
        <v>1082</v>
      </c>
      <c r="BM1" s="1" t="s">
        <v>1193</v>
      </c>
      <c r="BN1" s="1" t="s">
        <v>405</v>
      </c>
      <c r="BO1" s="1" t="s">
        <v>155</v>
      </c>
      <c r="BP1" s="1" t="s">
        <v>714</v>
      </c>
      <c r="BQ1" s="1" t="s">
        <v>1100</v>
      </c>
      <c r="BR1" s="1" t="s">
        <v>1211</v>
      </c>
      <c r="BS1" s="1" t="s">
        <v>494</v>
      </c>
      <c r="BT1" s="1" t="s">
        <v>381</v>
      </c>
      <c r="BU1" s="1" t="s">
        <v>1178</v>
      </c>
      <c r="BV1" s="1" t="s">
        <v>1220</v>
      </c>
      <c r="BW1" s="1" t="s">
        <v>441</v>
      </c>
      <c r="BX1" s="1" t="s">
        <v>212</v>
      </c>
      <c r="BY1" s="1" t="s">
        <v>420</v>
      </c>
      <c r="BZ1" s="1" t="s">
        <v>1040</v>
      </c>
      <c r="CA1" s="1" t="s">
        <v>321</v>
      </c>
      <c r="CB1" s="1" t="s">
        <v>1115</v>
      </c>
      <c r="CC1" s="1" t="s">
        <v>138</v>
      </c>
      <c r="CD1" s="1" t="s">
        <v>207</v>
      </c>
      <c r="CE1" s="1" t="s">
        <v>654</v>
      </c>
      <c r="CF1" s="1" t="s">
        <v>803</v>
      </c>
      <c r="CG1" s="1" t="s">
        <v>746</v>
      </c>
      <c r="CH1" s="1" t="s">
        <v>591</v>
      </c>
      <c r="CI1" s="1" t="s">
        <v>488</v>
      </c>
      <c r="CJ1" s="1" t="s">
        <v>537</v>
      </c>
      <c r="CK1" s="1" t="s">
        <v>1097</v>
      </c>
      <c r="CL1" s="1" t="s">
        <v>687</v>
      </c>
      <c r="CM1" s="1" t="s">
        <v>987</v>
      </c>
      <c r="CN1" s="1" t="s">
        <v>1133</v>
      </c>
      <c r="CO1" s="1" t="s">
        <v>952</v>
      </c>
      <c r="CP1" s="1" t="s">
        <v>735</v>
      </c>
      <c r="CQ1" s="1" t="s">
        <v>618</v>
      </c>
      <c r="CR1" s="1" t="s">
        <v>1079</v>
      </c>
      <c r="CS1" s="1" t="s">
        <v>564</v>
      </c>
      <c r="CT1" s="1" t="s">
        <v>549</v>
      </c>
      <c r="CU1" s="1" t="s">
        <v>482</v>
      </c>
      <c r="CV1" s="1" t="s">
        <v>1058</v>
      </c>
      <c r="CW1" s="1" t="s">
        <v>782</v>
      </c>
      <c r="CX1" s="1" t="s">
        <v>910</v>
      </c>
      <c r="CY1" s="1" t="s">
        <v>552</v>
      </c>
      <c r="CZ1" s="1" t="s">
        <v>963</v>
      </c>
      <c r="DA1" s="1" t="s">
        <v>296</v>
      </c>
      <c r="DB1" s="1" t="s">
        <v>1202</v>
      </c>
      <c r="DC1" s="1" t="s">
        <v>455</v>
      </c>
      <c r="DD1" s="1" t="s">
        <v>785</v>
      </c>
      <c r="DE1" s="1" t="s">
        <v>1124</v>
      </c>
      <c r="DF1" s="1" t="s">
        <v>684</v>
      </c>
      <c r="DG1" s="1" t="s">
        <v>935</v>
      </c>
      <c r="DH1" s="1" t="s">
        <v>955</v>
      </c>
      <c r="DI1" s="1" t="s">
        <v>809</v>
      </c>
      <c r="DJ1" s="1" t="s">
        <v>1130</v>
      </c>
      <c r="DK1" s="1" t="s">
        <v>196</v>
      </c>
      <c r="DL1" s="1" t="s">
        <v>1088</v>
      </c>
      <c r="DM1" s="1" t="s">
        <v>402</v>
      </c>
      <c r="DN1" s="1" t="s">
        <v>678</v>
      </c>
      <c r="DO1" s="1" t="s">
        <v>181</v>
      </c>
      <c r="DP1" s="1" t="s">
        <v>788</v>
      </c>
      <c r="DQ1" s="1" t="s">
        <v>1121</v>
      </c>
      <c r="DR1" s="1" t="s">
        <v>452</v>
      </c>
      <c r="DS1" s="1" t="s">
        <v>1043</v>
      </c>
      <c r="DT1" s="1" t="s">
        <v>664</v>
      </c>
      <c r="DU1" s="1" t="s">
        <v>929</v>
      </c>
      <c r="DV1" s="1" t="s">
        <v>247</v>
      </c>
      <c r="DW1" s="1" t="s">
        <v>800</v>
      </c>
      <c r="DX1" s="1" t="s">
        <v>1046</v>
      </c>
      <c r="DY1" s="1" t="s">
        <v>1022</v>
      </c>
      <c r="DZ1" s="1" t="s">
        <v>761</v>
      </c>
      <c r="EA1" s="1" t="s">
        <v>839</v>
      </c>
      <c r="EB1" s="1" t="s">
        <v>19</v>
      </c>
      <c r="EC1" s="1" t="s">
        <v>473</v>
      </c>
      <c r="ED1" s="1" t="s">
        <v>186</v>
      </c>
      <c r="EE1" s="1" t="s">
        <v>621</v>
      </c>
      <c r="EF1" s="1" t="s">
        <v>329</v>
      </c>
      <c r="EG1" s="1" t="s">
        <v>1052</v>
      </c>
      <c r="EH1" s="1" t="s">
        <v>866</v>
      </c>
      <c r="EI1" s="1" t="s">
        <v>923</v>
      </c>
      <c r="EJ1" s="1" t="s">
        <v>1034</v>
      </c>
      <c r="EK1" s="1" t="s">
        <v>693</v>
      </c>
      <c r="EL1" s="1" t="s">
        <v>606</v>
      </c>
      <c r="EM1" s="1" t="s">
        <v>449</v>
      </c>
      <c r="EN1" s="1" t="s">
        <v>1061</v>
      </c>
      <c r="EO1" s="1" t="s">
        <v>656</v>
      </c>
      <c r="EP1" s="1" t="s">
        <v>1004</v>
      </c>
      <c r="EQ1" s="1" t="s">
        <v>1196</v>
      </c>
      <c r="ER1" s="1" t="s">
        <v>1055</v>
      </c>
      <c r="ES1" s="1" t="s">
        <v>1016</v>
      </c>
      <c r="ET1" s="1" t="s">
        <v>237</v>
      </c>
      <c r="EU1" s="1" t="s">
        <v>227</v>
      </c>
      <c r="EV1" s="1" t="s">
        <v>597</v>
      </c>
      <c r="EW1" s="1" t="s">
        <v>1007</v>
      </c>
      <c r="EX1" s="1" t="s">
        <v>232</v>
      </c>
      <c r="EY1" s="1" t="s">
        <v>365</v>
      </c>
      <c r="EZ1" s="1" t="s">
        <v>333</v>
      </c>
      <c r="FA1" s="1" t="s">
        <v>908</v>
      </c>
      <c r="FB1" s="1" t="s">
        <v>485</v>
      </c>
      <c r="FC1" s="1" t="s">
        <v>396</v>
      </c>
      <c r="FD1" s="1" t="s">
        <v>1070</v>
      </c>
      <c r="FE1" s="1" t="s">
        <v>1160</v>
      </c>
      <c r="FF1" s="1" t="s">
        <v>636</v>
      </c>
      <c r="FG1" s="1" t="s">
        <v>875</v>
      </c>
      <c r="FH1" s="1" t="s">
        <v>770</v>
      </c>
      <c r="FI1" s="1" t="s">
        <v>878</v>
      </c>
      <c r="FJ1" s="1" t="s">
        <v>842</v>
      </c>
      <c r="FK1" s="1" t="s">
        <v>881</v>
      </c>
      <c r="FL1" s="1" t="s">
        <v>1028</v>
      </c>
      <c r="FM1" s="1" t="s">
        <v>1094</v>
      </c>
      <c r="FN1" s="1" t="s">
        <v>1118</v>
      </c>
      <c r="FO1" s="1" t="s">
        <v>726</v>
      </c>
      <c r="FP1" s="1" t="s">
        <v>996</v>
      </c>
      <c r="FQ1" s="1" t="s">
        <v>797</v>
      </c>
      <c r="FR1" s="1" t="s">
        <v>1091</v>
      </c>
      <c r="FS1" s="1" t="s">
        <v>821</v>
      </c>
      <c r="FT1" s="1" t="s">
        <v>845</v>
      </c>
      <c r="FU1" s="1" t="s">
        <v>827</v>
      </c>
      <c r="FV1" s="1" t="s">
        <v>561</v>
      </c>
      <c r="FW1" s="1" t="s">
        <v>317</v>
      </c>
      <c r="FX1" s="1" t="s">
        <v>191</v>
      </c>
      <c r="FY1" s="1" t="s">
        <v>905</v>
      </c>
      <c r="FZ1" s="1" t="s">
        <v>848</v>
      </c>
      <c r="GA1" s="1" t="s">
        <v>579</v>
      </c>
      <c r="GB1" s="1" t="s">
        <v>651</v>
      </c>
      <c r="GC1" s="1" t="s">
        <v>479</v>
      </c>
      <c r="GD1" s="1" t="s">
        <v>926</v>
      </c>
      <c r="GE1" s="1" t="s">
        <v>681</v>
      </c>
      <c r="GF1" s="1" t="s">
        <v>627</v>
      </c>
      <c r="GG1" s="1" t="s">
        <v>648</v>
      </c>
      <c r="GH1" s="1" t="s">
        <v>1148</v>
      </c>
      <c r="GI1" s="1" t="s">
        <v>1151</v>
      </c>
      <c r="GJ1" s="1" t="s">
        <v>1157</v>
      </c>
      <c r="GK1" s="1" t="s">
        <v>912</v>
      </c>
      <c r="GL1" s="1" t="s">
        <v>1166</v>
      </c>
      <c r="GM1" s="1" t="s">
        <v>633</v>
      </c>
      <c r="GN1" s="1" t="s">
        <v>531</v>
      </c>
      <c r="GO1" s="1" t="s">
        <v>526</v>
      </c>
      <c r="GP1" s="1" t="s">
        <v>467</v>
      </c>
      <c r="GQ1" s="1" t="s">
        <v>815</v>
      </c>
      <c r="GR1" s="1" t="s">
        <v>854</v>
      </c>
      <c r="GS1" s="1" t="s">
        <v>491</v>
      </c>
      <c r="GT1" s="1" t="s">
        <v>1085</v>
      </c>
      <c r="GU1" s="1" t="s">
        <v>497</v>
      </c>
      <c r="GV1" s="1" t="s">
        <v>773</v>
      </c>
      <c r="GW1" s="1" t="s">
        <v>806</v>
      </c>
      <c r="GX1" s="1" t="s">
        <v>830</v>
      </c>
      <c r="GY1" s="1" t="s">
        <v>543</v>
      </c>
      <c r="GZ1" s="1" t="s">
        <v>670</v>
      </c>
      <c r="HA1" s="1" t="s">
        <v>705</v>
      </c>
      <c r="HB1" s="1" t="s">
        <v>582</v>
      </c>
      <c r="HC1" s="1" t="s">
        <v>645</v>
      </c>
      <c r="HD1" s="1" t="s">
        <v>863</v>
      </c>
      <c r="HE1" s="1" t="s">
        <v>699</v>
      </c>
      <c r="HF1" s="1" t="s">
        <v>642</v>
      </c>
      <c r="HG1" s="1" t="s">
        <v>696</v>
      </c>
      <c r="HH1" s="1" t="s">
        <v>432</v>
      </c>
      <c r="HI1" s="1" t="s">
        <v>896</v>
      </c>
      <c r="HJ1" s="1" t="s">
        <v>1163</v>
      </c>
      <c r="HK1" s="1" t="s">
        <v>1010</v>
      </c>
      <c r="HL1" s="1" t="s">
        <v>818</v>
      </c>
      <c r="HM1" s="1" t="s">
        <v>1142</v>
      </c>
      <c r="HN1" s="1" t="s">
        <v>972</v>
      </c>
      <c r="HO1" s="1" t="s">
        <v>399</v>
      </c>
      <c r="HP1" s="1" t="s">
        <v>393</v>
      </c>
      <c r="HQ1" s="1" t="s">
        <v>1112</v>
      </c>
      <c r="HR1" s="1" t="s">
        <v>899</v>
      </c>
      <c r="HS1" s="1" t="s">
        <v>791</v>
      </c>
      <c r="HT1" s="1" t="s">
        <v>470</v>
      </c>
      <c r="HU1" s="1" t="s">
        <v>357</v>
      </c>
      <c r="HV1" s="1" t="s">
        <v>949</v>
      </c>
      <c r="HW1" s="1" t="s">
        <v>1172</v>
      </c>
      <c r="HX1" s="1" t="s">
        <v>147</v>
      </c>
      <c r="HY1" s="1" t="s">
        <v>764</v>
      </c>
      <c r="HZ1" s="1" t="s">
        <v>567</v>
      </c>
      <c r="IA1" s="1" t="s">
        <v>161</v>
      </c>
      <c r="IB1" s="1" t="s">
        <v>1031</v>
      </c>
      <c r="IC1" s="1" t="s">
        <v>500</v>
      </c>
      <c r="ID1" s="1" t="s">
        <v>438</v>
      </c>
      <c r="IE1" s="1" t="s">
        <v>932</v>
      </c>
      <c r="IF1" s="1" t="s">
        <v>667</v>
      </c>
      <c r="IG1" s="1" t="s">
        <v>836</v>
      </c>
      <c r="IH1" s="1" t="s">
        <v>921</v>
      </c>
      <c r="II1" s="1" t="s">
        <v>509</v>
      </c>
      <c r="IJ1" s="1" t="s">
        <v>521</v>
      </c>
      <c r="IK1" s="1" t="s">
        <v>458</v>
      </c>
      <c r="IL1" s="1" t="s">
        <v>833</v>
      </c>
      <c r="IM1" s="1" t="s">
        <v>749</v>
      </c>
      <c r="IN1" s="1" t="s">
        <v>743</v>
      </c>
      <c r="IO1" s="1" t="s">
        <v>673</v>
      </c>
      <c r="IP1" s="1" t="s">
        <v>573</v>
      </c>
      <c r="IQ1" s="1" t="s">
        <v>658</v>
      </c>
      <c r="IR1" s="1" t="s">
        <v>600</v>
      </c>
      <c r="IS1" s="1" t="s">
        <v>345</v>
      </c>
      <c r="IT1" s="1" t="s">
        <v>369</v>
      </c>
      <c r="IU1" s="1" t="s">
        <v>524</v>
      </c>
      <c r="IV1" s="1" t="s">
        <v>202</v>
      </c>
      <c r="IW1" s="1" t="s">
        <v>776</v>
      </c>
      <c r="IX1" s="1" t="s">
        <v>506</v>
      </c>
      <c r="IY1" s="1" t="s">
        <v>737</v>
      </c>
      <c r="IZ1" s="1" t="s">
        <v>1037</v>
      </c>
      <c r="JA1" s="1" t="s">
        <v>1145</v>
      </c>
      <c r="JB1" s="1" t="s">
        <v>1073</v>
      </c>
      <c r="JC1" s="1" t="s">
        <v>702</v>
      </c>
      <c r="JD1" s="1" t="s">
        <v>893</v>
      </c>
      <c r="JE1" s="1" t="s">
        <v>978</v>
      </c>
      <c r="JF1" s="1" t="s">
        <v>902</v>
      </c>
      <c r="JG1" s="1" t="s">
        <v>966</v>
      </c>
      <c r="JH1" s="1" t="s">
        <v>612</v>
      </c>
      <c r="JI1" s="1" t="s">
        <v>276</v>
      </c>
      <c r="JJ1" s="1" t="s">
        <v>385</v>
      </c>
      <c r="JK1" s="1" t="s">
        <v>353</v>
      </c>
      <c r="JL1" s="1" t="s">
        <v>957</v>
      </c>
      <c r="JM1" s="1" t="s">
        <v>242</v>
      </c>
      <c r="JN1" s="1" t="s">
        <v>464</v>
      </c>
      <c r="JO1" s="1" t="s">
        <v>1049</v>
      </c>
      <c r="JP1" s="1" t="s">
        <v>389</v>
      </c>
      <c r="JQ1" s="1" t="s">
        <v>281</v>
      </c>
      <c r="JR1" s="1" t="s">
        <v>22</v>
      </c>
      <c r="JS1" s="1" t="s">
        <v>984</v>
      </c>
      <c r="JT1" s="1" t="s">
        <v>171</v>
      </c>
      <c r="JU1" s="1" t="s">
        <v>1064</v>
      </c>
      <c r="JV1" s="1" t="s">
        <v>166</v>
      </c>
      <c r="JW1" s="1" t="s">
        <v>779</v>
      </c>
      <c r="JX1" s="1" t="s">
        <v>675</v>
      </c>
      <c r="JY1" s="1" t="s">
        <v>794</v>
      </c>
      <c r="JZ1" s="1" t="s">
        <v>286</v>
      </c>
      <c r="KA1" s="1" t="s">
        <v>740</v>
      </c>
      <c r="KB1" s="1" t="s">
        <v>1127</v>
      </c>
      <c r="KC1" s="1" t="s">
        <v>246</v>
      </c>
      <c r="KD1" s="1" t="s">
        <v>503</v>
      </c>
      <c r="KE1" s="1" t="s">
        <v>1109</v>
      </c>
      <c r="KF1" s="1" t="s">
        <v>890</v>
      </c>
      <c r="KG1" s="1" t="s">
        <v>361</v>
      </c>
      <c r="KH1" s="1" t="s">
        <v>990</v>
      </c>
      <c r="KI1" s="1" t="s">
        <v>1076</v>
      </c>
      <c r="KJ1" s="1" t="s">
        <v>534</v>
      </c>
      <c r="KK1" s="1" t="s">
        <v>1169</v>
      </c>
      <c r="KL1" s="1" t="s">
        <v>310</v>
      </c>
      <c r="KM1" s="1" t="s">
        <v>341</v>
      </c>
      <c r="KN1" s="1" t="s">
        <v>476</v>
      </c>
      <c r="KO1" s="1" t="s">
        <v>373</v>
      </c>
      <c r="KP1" s="1" t="s">
        <v>767</v>
      </c>
      <c r="KQ1" s="1" t="s">
        <v>222</v>
      </c>
      <c r="KR1" s="1" t="s">
        <v>349</v>
      </c>
      <c r="KS1" s="1" t="s">
        <v>546</v>
      </c>
      <c r="KT1" s="1" t="s">
        <v>887</v>
      </c>
      <c r="KU1" s="1" t="s">
        <v>851</v>
      </c>
      <c r="KV1" s="1" t="s">
        <v>217</v>
      </c>
      <c r="KW1" s="1" t="s">
        <v>1205</v>
      </c>
      <c r="KX1" s="1" t="s">
        <v>1223</v>
      </c>
      <c r="KY1" s="1" t="s">
        <v>969</v>
      </c>
      <c r="KZ1" s="1" t="s">
        <v>314</v>
      </c>
      <c r="LA1" s="1" t="s">
        <v>1067</v>
      </c>
      <c r="LB1" s="1" t="s">
        <v>1136</v>
      </c>
      <c r="LC1" s="1" t="s">
        <v>758</v>
      </c>
      <c r="LD1" s="1" t="s">
        <v>960</v>
      </c>
      <c r="LE1" s="1" t="s">
        <v>630</v>
      </c>
      <c r="LF1" s="1" t="s">
        <v>325</v>
      </c>
      <c r="LG1" s="1" t="s">
        <v>812</v>
      </c>
      <c r="LH1" s="1" t="s">
        <v>528</v>
      </c>
      <c r="LI1" s="1" t="s">
        <v>723</v>
      </c>
      <c r="LJ1" s="1" t="s">
        <v>411</v>
      </c>
      <c r="LK1" s="1" t="s">
        <v>690</v>
      </c>
      <c r="LL1" s="1" t="s">
        <v>414</v>
      </c>
      <c r="LM1" s="1" t="s">
        <v>609</v>
      </c>
      <c r="LN1" s="1" t="s">
        <v>752</v>
      </c>
      <c r="LO1" s="1" t="s">
        <v>1154</v>
      </c>
      <c r="LP1" s="1" t="s">
        <v>540</v>
      </c>
      <c r="LQ1" s="1" t="s">
        <v>729</v>
      </c>
      <c r="LR1" s="1" t="s">
        <v>435</v>
      </c>
      <c r="LS1" s="1" t="s">
        <v>999</v>
      </c>
      <c r="LT1" s="1" t="s">
        <v>1001</v>
      </c>
      <c r="LU1" s="1" t="s">
        <v>993</v>
      </c>
      <c r="LV1" s="1" t="s">
        <v>408</v>
      </c>
      <c r="LW1" s="1" t="s">
        <v>588</v>
      </c>
    </row>
    <row r="2" spans="1:335">
      <c r="A2" s="2" t="s">
        <v>1575</v>
      </c>
      <c r="B2" s="2" t="s">
        <v>2849</v>
      </c>
      <c r="C2" s="2" t="s">
        <v>1943</v>
      </c>
      <c r="D2" s="2" t="s">
        <v>2336</v>
      </c>
      <c r="E2" s="2" t="s">
        <v>1607</v>
      </c>
      <c r="F2" s="2" t="s">
        <v>2090</v>
      </c>
      <c r="G2" s="2" t="s">
        <v>2137</v>
      </c>
      <c r="H2" s="2" t="s">
        <v>3621</v>
      </c>
      <c r="I2" s="2" t="s">
        <v>3545</v>
      </c>
      <c r="J2" s="2" t="s">
        <v>1105</v>
      </c>
      <c r="K2" s="2" t="s">
        <v>2193</v>
      </c>
      <c r="L2" s="2" t="s">
        <v>3232</v>
      </c>
      <c r="M2" s="2" t="s">
        <v>1366</v>
      </c>
      <c r="N2" s="2" t="s">
        <v>1808</v>
      </c>
      <c r="O2" s="2" t="s">
        <v>3217</v>
      </c>
      <c r="P2" s="2" t="s">
        <v>1293</v>
      </c>
      <c r="Q2" s="2" t="s">
        <v>1242</v>
      </c>
      <c r="R2" s="2" t="s">
        <v>3624</v>
      </c>
      <c r="S2" s="2" t="s">
        <v>2103</v>
      </c>
      <c r="T2" s="2" t="s">
        <v>2021</v>
      </c>
      <c r="U2" s="2" t="s">
        <v>2731</v>
      </c>
      <c r="V2" s="2" t="s">
        <v>1905</v>
      </c>
      <c r="W2" s="2" t="s">
        <v>1549</v>
      </c>
      <c r="X2" s="2" t="s">
        <v>3693</v>
      </c>
      <c r="Y2" s="2" t="s">
        <v>2654</v>
      </c>
      <c r="Z2" s="2" t="s">
        <v>1566</v>
      </c>
      <c r="AA2" s="2" t="s">
        <v>581</v>
      </c>
      <c r="AB2" s="2" t="s">
        <v>3201</v>
      </c>
      <c r="AC2" s="2" t="s">
        <v>2365</v>
      </c>
      <c r="AD2" s="2" t="s">
        <v>3669</v>
      </c>
      <c r="AE2" s="2" t="s">
        <v>3630</v>
      </c>
      <c r="AF2" s="2" t="s">
        <v>1898</v>
      </c>
      <c r="AG2" s="2" t="s">
        <v>3091</v>
      </c>
      <c r="AH2" s="2" t="s">
        <v>3298</v>
      </c>
      <c r="AI2" s="2" t="s">
        <v>1304</v>
      </c>
      <c r="AJ2" s="2" t="s">
        <v>2103</v>
      </c>
      <c r="AK2" s="2" t="s">
        <v>3065</v>
      </c>
      <c r="AL2" s="2" t="s">
        <v>1222</v>
      </c>
      <c r="AM2" s="2" t="s">
        <v>132</v>
      </c>
      <c r="AN2" s="2" t="s">
        <v>2782</v>
      </c>
      <c r="AO2" s="2" t="s">
        <v>2413</v>
      </c>
      <c r="AP2" s="2" t="s">
        <v>1625</v>
      </c>
      <c r="AQ2" s="2" t="s">
        <v>2981</v>
      </c>
      <c r="AR2" s="2" t="s">
        <v>2736</v>
      </c>
      <c r="AS2" s="2" t="s">
        <v>1978</v>
      </c>
      <c r="AT2" s="2" t="s">
        <v>2004</v>
      </c>
      <c r="AU2" s="2" t="s">
        <v>1674</v>
      </c>
      <c r="AV2" s="2" t="s">
        <v>2343</v>
      </c>
      <c r="AW2" s="2" t="s">
        <v>3648</v>
      </c>
      <c r="AX2" s="2" t="s">
        <v>1932</v>
      </c>
      <c r="AY2" s="2" t="s">
        <v>1532</v>
      </c>
      <c r="AZ2" s="2" t="s">
        <v>1799</v>
      </c>
      <c r="BA2" s="2" t="s">
        <v>1817</v>
      </c>
      <c r="BB2" s="2" t="s">
        <v>2056</v>
      </c>
      <c r="BC2" s="2" t="s">
        <v>1432</v>
      </c>
      <c r="BD2" s="2" t="s">
        <v>3634</v>
      </c>
      <c r="BE2" s="2" t="s">
        <v>1156</v>
      </c>
      <c r="BF2" s="2" t="s">
        <v>3612</v>
      </c>
      <c r="BG2" s="2" t="s">
        <v>2375</v>
      </c>
      <c r="BH2" s="2" t="s">
        <v>1273</v>
      </c>
      <c r="BI2" s="2" t="s">
        <v>1195</v>
      </c>
      <c r="BJ2" s="2" t="s">
        <v>3685</v>
      </c>
      <c r="BK2" s="2" t="s">
        <v>2476</v>
      </c>
      <c r="BL2" s="2" t="s">
        <v>3398</v>
      </c>
      <c r="BM2" s="2" t="s">
        <v>3637</v>
      </c>
      <c r="BN2" s="2" t="s">
        <v>1480</v>
      </c>
      <c r="BO2" s="2" t="s">
        <v>407</v>
      </c>
      <c r="BP2" s="2" t="s">
        <v>2356</v>
      </c>
      <c r="BQ2" s="2" t="s">
        <v>3469</v>
      </c>
      <c r="BR2" s="2" t="s">
        <v>3673</v>
      </c>
      <c r="BS2" s="2" t="s">
        <v>1763</v>
      </c>
      <c r="BT2" s="2" t="s">
        <v>1328</v>
      </c>
      <c r="BU2" s="2" t="s">
        <v>3616</v>
      </c>
      <c r="BV2" s="2" t="s">
        <v>3703</v>
      </c>
      <c r="BW2" s="2" t="s">
        <v>1604</v>
      </c>
      <c r="BX2" s="2" t="s">
        <v>877</v>
      </c>
      <c r="BY2" s="2" t="s">
        <v>1540</v>
      </c>
      <c r="BZ2" s="2" t="s">
        <v>3274</v>
      </c>
      <c r="CA2" s="2" t="s">
        <v>1337</v>
      </c>
      <c r="CB2" s="2" t="s">
        <v>3490</v>
      </c>
      <c r="CC2" s="2" t="s">
        <v>234</v>
      </c>
      <c r="CD2" s="2" t="s">
        <v>847</v>
      </c>
      <c r="CE2" s="2" t="s">
        <v>2183</v>
      </c>
      <c r="CF2" s="2" t="s">
        <v>2605</v>
      </c>
      <c r="CG2" s="2" t="s">
        <v>2451</v>
      </c>
      <c r="CH2" s="2" t="s">
        <v>1995</v>
      </c>
      <c r="CI2" s="2" t="s">
        <v>1741</v>
      </c>
      <c r="CJ2" s="2" t="s">
        <v>1855</v>
      </c>
      <c r="CK2" s="2" t="s">
        <v>3459</v>
      </c>
      <c r="CL2" s="2" t="s">
        <v>2282</v>
      </c>
      <c r="CM2" s="2" t="s">
        <v>3109</v>
      </c>
      <c r="CN2" s="2" t="s">
        <v>3529</v>
      </c>
      <c r="CO2" s="2" t="s">
        <v>2996</v>
      </c>
      <c r="CP2" s="2" t="s">
        <v>2421</v>
      </c>
      <c r="CQ2" s="2" t="s">
        <v>2069</v>
      </c>
      <c r="CR2" s="2" t="s">
        <v>3386</v>
      </c>
      <c r="CS2" s="2" t="s">
        <v>1913</v>
      </c>
      <c r="CT2" s="2" t="s">
        <v>1888</v>
      </c>
      <c r="CU2" s="2" t="s">
        <v>1723</v>
      </c>
      <c r="CV2" s="2" t="s">
        <v>3317</v>
      </c>
      <c r="CW2" s="2" t="s">
        <v>2543</v>
      </c>
      <c r="CX2" s="2" t="s">
        <v>2838</v>
      </c>
      <c r="CY2" s="2" t="s">
        <v>1893</v>
      </c>
      <c r="CZ2" s="2" t="s">
        <v>3026</v>
      </c>
      <c r="DA2" s="2" t="s">
        <v>1286</v>
      </c>
      <c r="DB2" s="2" t="s">
        <v>3651</v>
      </c>
      <c r="DC2" s="2" t="s">
        <v>1656</v>
      </c>
      <c r="DD2" s="2" t="s">
        <v>2552</v>
      </c>
      <c r="DE2" s="2" t="s">
        <v>3507</v>
      </c>
      <c r="DF2" s="2" t="s">
        <v>331</v>
      </c>
      <c r="DG2" s="2" t="s">
        <v>2103</v>
      </c>
      <c r="DH2" s="2" t="s">
        <v>3006</v>
      </c>
      <c r="DI2" s="2" t="s">
        <v>1528</v>
      </c>
      <c r="DJ2" s="2" t="s">
        <v>3521</v>
      </c>
      <c r="DK2" s="2" t="s">
        <v>784</v>
      </c>
      <c r="DL2" s="2" t="s">
        <v>3423</v>
      </c>
      <c r="DM2" s="2" t="s">
        <v>1472</v>
      </c>
      <c r="DN2" s="2" t="s">
        <v>2251</v>
      </c>
      <c r="DO2" s="2" t="s">
        <v>323</v>
      </c>
      <c r="DP2" s="2" t="s">
        <v>2561</v>
      </c>
      <c r="DQ2" s="2" t="s">
        <v>3501</v>
      </c>
      <c r="DR2" s="2" t="s">
        <v>1629</v>
      </c>
      <c r="DS2" s="2" t="s">
        <v>3286</v>
      </c>
      <c r="DT2" s="2" t="s">
        <v>2204</v>
      </c>
      <c r="DU2" s="2" t="s">
        <v>2942</v>
      </c>
      <c r="DV2" s="2" t="s">
        <v>1063</v>
      </c>
      <c r="DW2" s="2" t="s">
        <v>2593</v>
      </c>
      <c r="DX2" s="2" t="s">
        <v>3291</v>
      </c>
      <c r="DY2" s="2" t="s">
        <v>3222</v>
      </c>
      <c r="DZ2" s="2" t="s">
        <v>2484</v>
      </c>
      <c r="EA2" s="2" t="s">
        <v>2689</v>
      </c>
      <c r="EB2" s="2" t="s">
        <v>2906</v>
      </c>
      <c r="EC2" s="2" t="s">
        <v>1704</v>
      </c>
      <c r="ED2" s="2" t="s">
        <v>704</v>
      </c>
      <c r="EE2" s="2" t="s">
        <v>2079</v>
      </c>
      <c r="EF2" s="2" t="s">
        <v>1353</v>
      </c>
      <c r="EG2" s="2" t="s">
        <v>3298</v>
      </c>
      <c r="EH2" s="2" t="s">
        <v>2726</v>
      </c>
      <c r="EI2" s="2" t="s">
        <v>2930</v>
      </c>
      <c r="EJ2" s="2" t="s">
        <v>3263</v>
      </c>
      <c r="EK2" s="2" t="s">
        <v>2296</v>
      </c>
      <c r="EL2" s="2" t="s">
        <v>2033</v>
      </c>
      <c r="EM2" s="2" t="s">
        <v>1638</v>
      </c>
      <c r="EN2" s="2" t="s">
        <v>3329</v>
      </c>
      <c r="EO2" s="2" t="s">
        <v>2187</v>
      </c>
      <c r="EP2" s="2" t="s">
        <v>3169</v>
      </c>
      <c r="EQ2" s="2" t="s">
        <v>3640</v>
      </c>
      <c r="ER2" s="2" t="s">
        <v>3306</v>
      </c>
      <c r="ES2" s="2" t="s">
        <v>3206</v>
      </c>
      <c r="ET2" s="2" t="s">
        <v>992</v>
      </c>
      <c r="EU2" s="2" t="s">
        <v>877</v>
      </c>
      <c r="EV2" s="2" t="s">
        <v>2012</v>
      </c>
      <c r="EW2" s="2" t="s">
        <v>3183</v>
      </c>
      <c r="EX2" s="2" t="s">
        <v>974</v>
      </c>
      <c r="EY2" s="2" t="s">
        <v>1410</v>
      </c>
      <c r="EZ2" s="2" t="s">
        <v>1360</v>
      </c>
      <c r="FA2" s="2" t="s">
        <v>2832</v>
      </c>
      <c r="FB2" s="2" t="s">
        <v>1728</v>
      </c>
      <c r="FC2" s="2" t="s">
        <v>1462</v>
      </c>
      <c r="FD2" s="2" t="s">
        <v>3364</v>
      </c>
      <c r="FE2" s="2" t="s">
        <v>3586</v>
      </c>
      <c r="FF2" s="2" t="s">
        <v>2103</v>
      </c>
      <c r="FG2" s="2" t="s">
        <v>2748</v>
      </c>
      <c r="FH2" s="2" t="s">
        <v>2505</v>
      </c>
      <c r="FI2" s="2" t="s">
        <v>2758</v>
      </c>
      <c r="FJ2" s="2" t="s">
        <v>2694</v>
      </c>
      <c r="FK2" s="2" t="s">
        <v>2775</v>
      </c>
      <c r="FL2" s="2" t="s">
        <v>3240</v>
      </c>
      <c r="FM2" s="2" t="s">
        <v>3447</v>
      </c>
      <c r="FN2" s="2" t="s">
        <v>3497</v>
      </c>
      <c r="FO2" s="2" t="s">
        <v>2395</v>
      </c>
      <c r="FP2" s="2" t="s">
        <v>3133</v>
      </c>
      <c r="FQ2" s="2" t="s">
        <v>2582</v>
      </c>
      <c r="FR2" s="2" t="s">
        <v>3436</v>
      </c>
      <c r="FS2" s="2" t="s">
        <v>2647</v>
      </c>
      <c r="FT2" s="2" t="s">
        <v>877</v>
      </c>
      <c r="FU2" s="2" t="s">
        <v>2659</v>
      </c>
      <c r="FV2" s="2" t="s">
        <v>1909</v>
      </c>
      <c r="FW2" s="2" t="s">
        <v>234</v>
      </c>
      <c r="FX2" s="2" t="s">
        <v>331</v>
      </c>
      <c r="FY2" s="2" t="s">
        <v>2821</v>
      </c>
      <c r="FZ2" s="2" t="s">
        <v>2705</v>
      </c>
      <c r="GA2" s="2" t="s">
        <v>1955</v>
      </c>
      <c r="GB2" s="2" t="s">
        <v>2177</v>
      </c>
      <c r="GC2" s="2" t="s">
        <v>1717</v>
      </c>
      <c r="GD2" s="2" t="s">
        <v>2935</v>
      </c>
      <c r="GE2" s="2" t="s">
        <v>2258</v>
      </c>
      <c r="GF2" s="2" t="s">
        <v>2102</v>
      </c>
      <c r="GG2" s="2" t="s">
        <v>2103</v>
      </c>
      <c r="GH2" s="2" t="s">
        <v>3567</v>
      </c>
      <c r="GI2" s="2" t="s">
        <v>3573</v>
      </c>
      <c r="GJ2" s="2" t="s">
        <v>3581</v>
      </c>
      <c r="GK2" s="2" t="s">
        <v>2845</v>
      </c>
      <c r="GL2" s="2" t="s">
        <v>3598</v>
      </c>
      <c r="GM2" s="2" t="s">
        <v>2124</v>
      </c>
      <c r="GN2" s="2" t="s">
        <v>1848</v>
      </c>
      <c r="GO2" s="2" t="s">
        <v>1838</v>
      </c>
      <c r="GP2" s="2" t="s">
        <v>1404</v>
      </c>
      <c r="GQ2" s="2" t="s">
        <v>2639</v>
      </c>
      <c r="GR2" s="2" t="s">
        <v>2715</v>
      </c>
      <c r="GS2" s="2" t="s">
        <v>1752</v>
      </c>
      <c r="GT2" s="2" t="s">
        <v>3412</v>
      </c>
      <c r="GU2" s="2" t="s">
        <v>1770</v>
      </c>
      <c r="GV2" s="2" t="s">
        <v>2514</v>
      </c>
      <c r="GW2" s="2" t="s">
        <v>2610</v>
      </c>
      <c r="GX2" s="2" t="s">
        <v>2666</v>
      </c>
      <c r="GY2" s="2" t="s">
        <v>1872</v>
      </c>
      <c r="GZ2" s="2" t="s">
        <v>2223</v>
      </c>
      <c r="HA2" s="2" t="s">
        <v>2331</v>
      </c>
      <c r="HB2" s="2" t="s">
        <v>1967</v>
      </c>
      <c r="HC2" s="2" t="s">
        <v>2154</v>
      </c>
      <c r="HD2" s="2" t="s">
        <v>2723</v>
      </c>
      <c r="HE2" s="2" t="s">
        <v>2319</v>
      </c>
      <c r="HF2" s="2" t="s">
        <v>2142</v>
      </c>
      <c r="HG2" s="2" t="s">
        <v>2308</v>
      </c>
      <c r="HH2" s="2" t="s">
        <v>1579</v>
      </c>
      <c r="HI2" s="2" t="s">
        <v>2799</v>
      </c>
      <c r="HJ2" s="2" t="s">
        <v>3592</v>
      </c>
      <c r="HK2" s="2" t="s">
        <v>3192</v>
      </c>
      <c r="HL2" s="2" t="s">
        <v>2644</v>
      </c>
      <c r="HM2" s="2" t="s">
        <v>3553</v>
      </c>
      <c r="HN2" s="2" t="s">
        <v>3047</v>
      </c>
      <c r="HO2" s="2" t="s">
        <v>1467</v>
      </c>
      <c r="HP2" s="2" t="s">
        <v>1456</v>
      </c>
      <c r="HQ2" s="2" t="s">
        <v>3485</v>
      </c>
      <c r="HR2" s="2" t="s">
        <v>2805</v>
      </c>
      <c r="HS2" s="2" t="s">
        <v>2565</v>
      </c>
      <c r="HT2" s="2" t="s">
        <v>1695</v>
      </c>
      <c r="HU2" s="2" t="s">
        <v>1399</v>
      </c>
      <c r="HV2" s="2" t="s">
        <v>2990</v>
      </c>
      <c r="HW2" s="2" t="s">
        <v>3609</v>
      </c>
      <c r="HX2" s="2" t="s">
        <v>319</v>
      </c>
      <c r="HY2" s="2" t="s">
        <v>2492</v>
      </c>
      <c r="HZ2" s="2" t="s">
        <v>1629</v>
      </c>
      <c r="IA2" s="2" t="s">
        <v>448</v>
      </c>
      <c r="IB2" s="2" t="s">
        <v>3250</v>
      </c>
      <c r="IC2" s="2" t="s">
        <v>1775</v>
      </c>
      <c r="ID2" s="2" t="s">
        <v>1594</v>
      </c>
      <c r="IE2" s="2" t="s">
        <v>2948</v>
      </c>
      <c r="IF2" s="2" t="s">
        <v>2215</v>
      </c>
      <c r="IG2" s="2" t="s">
        <v>2681</v>
      </c>
      <c r="IH2" s="2" t="s">
        <v>2924</v>
      </c>
      <c r="II2" s="2" t="s">
        <v>1796</v>
      </c>
      <c r="IJ2" s="2" t="s">
        <v>1824</v>
      </c>
      <c r="IK2" s="2" t="s">
        <v>1663</v>
      </c>
      <c r="IL2" s="2" t="s">
        <v>2675</v>
      </c>
      <c r="IM2" s="2" t="s">
        <v>2458</v>
      </c>
      <c r="IN2" s="2" t="s">
        <v>2446</v>
      </c>
      <c r="IO2" s="2" t="s">
        <v>2230</v>
      </c>
      <c r="IP2" s="2" t="s">
        <v>1938</v>
      </c>
      <c r="IQ2" s="2" t="s">
        <v>2191</v>
      </c>
      <c r="IR2" s="2" t="s">
        <v>2016</v>
      </c>
      <c r="IS2" s="2" t="s">
        <v>1379</v>
      </c>
      <c r="IT2" s="2" t="s">
        <v>1417</v>
      </c>
      <c r="IU2" s="2" t="s">
        <v>1831</v>
      </c>
      <c r="IV2" s="2" t="s">
        <v>814</v>
      </c>
      <c r="IW2" s="2" t="s">
        <v>2519</v>
      </c>
      <c r="IX2" s="2" t="s">
        <v>1790</v>
      </c>
      <c r="IY2" s="2" t="s">
        <v>2434</v>
      </c>
      <c r="IZ2" s="2" t="s">
        <v>3271</v>
      </c>
      <c r="JA2" s="2" t="s">
        <v>3561</v>
      </c>
      <c r="JB2" s="2" t="s">
        <v>1195</v>
      </c>
      <c r="JC2" s="2" t="s">
        <v>2325</v>
      </c>
      <c r="JD2" s="2" t="s">
        <v>2794</v>
      </c>
      <c r="JE2" s="2" t="s">
        <v>3082</v>
      </c>
      <c r="JF2" s="2" t="s">
        <v>2817</v>
      </c>
      <c r="JG2" s="2" t="s">
        <v>3030</v>
      </c>
      <c r="JH2" s="2" t="s">
        <v>2038</v>
      </c>
      <c r="JI2" s="2" t="s">
        <v>1245</v>
      </c>
      <c r="JJ2" s="2" t="s">
        <v>1445</v>
      </c>
      <c r="JK2" s="2" t="s">
        <v>1392</v>
      </c>
      <c r="JL2" s="2" t="s">
        <v>3011</v>
      </c>
      <c r="JM2" s="2" t="s">
        <v>1024</v>
      </c>
      <c r="JN2" s="2" t="s">
        <v>1682</v>
      </c>
      <c r="JO2" s="2" t="s">
        <v>3295</v>
      </c>
      <c r="JP2" s="2" t="s">
        <v>1449</v>
      </c>
      <c r="JQ2" s="2" t="s">
        <v>1257</v>
      </c>
      <c r="JR2" s="2" t="s">
        <v>2963</v>
      </c>
      <c r="JS2" s="2" t="s">
        <v>3095</v>
      </c>
      <c r="JT2" s="2" t="s">
        <v>323</v>
      </c>
      <c r="JU2" s="2" t="s">
        <v>3347</v>
      </c>
      <c r="JV2" s="2" t="s">
        <v>469</v>
      </c>
      <c r="JW2" s="2" t="s">
        <v>2531</v>
      </c>
      <c r="JX2" s="2" t="s">
        <v>2239</v>
      </c>
      <c r="JY2" s="2" t="s">
        <v>2571</v>
      </c>
      <c r="JZ2" s="2" t="s">
        <v>1265</v>
      </c>
      <c r="KA2" s="2" t="s">
        <v>2443</v>
      </c>
      <c r="KB2" s="2" t="s">
        <v>3514</v>
      </c>
      <c r="KC2" s="2" t="s">
        <v>2868</v>
      </c>
      <c r="KD2" s="2" t="s">
        <v>1781</v>
      </c>
      <c r="KE2" s="2" t="s">
        <v>3483</v>
      </c>
      <c r="KF2" s="2" t="s">
        <v>2790</v>
      </c>
      <c r="KG2" s="2" t="s">
        <v>1403</v>
      </c>
      <c r="KH2" s="2" t="s">
        <v>3115</v>
      </c>
      <c r="KI2" s="2" t="s">
        <v>3382</v>
      </c>
      <c r="KJ2" s="2" t="s">
        <v>1852</v>
      </c>
      <c r="KK2" s="2" t="s">
        <v>3603</v>
      </c>
      <c r="KL2" s="2" t="s">
        <v>1310</v>
      </c>
      <c r="KM2" s="2" t="s">
        <v>1372</v>
      </c>
      <c r="KN2" s="2" t="s">
        <v>1711</v>
      </c>
      <c r="KO2" s="2" t="s">
        <v>1423</v>
      </c>
      <c r="KP2" s="2" t="s">
        <v>2496</v>
      </c>
      <c r="KQ2" s="2" t="s">
        <v>877</v>
      </c>
      <c r="KR2" s="2" t="s">
        <v>1385</v>
      </c>
      <c r="KS2" s="2" t="s">
        <v>1880</v>
      </c>
      <c r="KT2" s="2" t="s">
        <v>2786</v>
      </c>
      <c r="KU2" s="2" t="s">
        <v>2711</v>
      </c>
      <c r="KV2" s="2" t="s">
        <v>877</v>
      </c>
      <c r="KW2" s="2" t="s">
        <v>3660</v>
      </c>
      <c r="KX2" s="2" t="s">
        <v>3710</v>
      </c>
      <c r="KY2" s="2" t="s">
        <v>3034</v>
      </c>
      <c r="KZ2" s="2" t="s">
        <v>1322</v>
      </c>
      <c r="LA2" s="2" t="s">
        <v>3357</v>
      </c>
      <c r="LB2" s="2" t="s">
        <v>3536</v>
      </c>
      <c r="LC2" s="2" t="s">
        <v>2482</v>
      </c>
      <c r="LD2" s="2" t="s">
        <v>3018</v>
      </c>
      <c r="LE2" s="2" t="s">
        <v>2112</v>
      </c>
      <c r="LF2" s="2" t="s">
        <v>1347</v>
      </c>
      <c r="LG2" s="2" t="s">
        <v>2629</v>
      </c>
      <c r="LH2" s="2" t="s">
        <v>1844</v>
      </c>
      <c r="LI2" s="2" t="s">
        <v>2385</v>
      </c>
      <c r="LJ2" s="2" t="s">
        <v>1515</v>
      </c>
      <c r="LK2" s="2" t="s">
        <v>2291</v>
      </c>
      <c r="LL2" s="2" t="s">
        <v>1524</v>
      </c>
      <c r="LM2" s="2" t="s">
        <v>2035</v>
      </c>
      <c r="LN2" s="2" t="s">
        <v>2466</v>
      </c>
      <c r="LO2" s="2" t="s">
        <v>3577</v>
      </c>
      <c r="LP2" s="2" t="s">
        <v>1865</v>
      </c>
      <c r="LQ2" s="2" t="s">
        <v>2407</v>
      </c>
      <c r="LR2" s="2" t="s">
        <v>1588</v>
      </c>
      <c r="LS2" s="2" t="s">
        <v>3141</v>
      </c>
      <c r="LT2" s="2" t="s">
        <v>3157</v>
      </c>
      <c r="LU2" s="2" t="s">
        <v>3125</v>
      </c>
      <c r="LV2" s="2" t="s">
        <v>1499</v>
      </c>
      <c r="LW2" s="2" t="s">
        <v>1988</v>
      </c>
    </row>
    <row r="3" spans="1:335">
      <c r="A3" s="2" t="s">
        <v>1576</v>
      </c>
      <c r="B3" s="2" t="s">
        <v>2850</v>
      </c>
      <c r="C3" s="2" t="s">
        <v>1944</v>
      </c>
      <c r="D3" s="2" t="s">
        <v>2337</v>
      </c>
      <c r="E3" s="2" t="s">
        <v>1608</v>
      </c>
      <c r="F3" s="2" t="s">
        <v>2091</v>
      </c>
      <c r="G3" s="2" t="s">
        <v>2138</v>
      </c>
      <c r="H3" s="2" t="s">
        <v>3622</v>
      </c>
      <c r="I3" s="2" t="s">
        <v>3546</v>
      </c>
      <c r="J3" s="2" t="s">
        <v>1108</v>
      </c>
      <c r="K3" s="2" t="s">
        <v>2194</v>
      </c>
      <c r="L3" s="2" t="s">
        <v>3233</v>
      </c>
      <c r="M3" s="2" t="s">
        <v>1367</v>
      </c>
      <c r="N3" s="2" t="s">
        <v>1809</v>
      </c>
      <c r="O3" s="2" t="s">
        <v>3218</v>
      </c>
      <c r="P3" s="2" t="s">
        <v>1294</v>
      </c>
      <c r="Q3" s="2" t="s">
        <v>1243</v>
      </c>
      <c r="R3" s="2" t="s">
        <v>3625</v>
      </c>
      <c r="S3" s="2" t="s">
        <v>2971</v>
      </c>
      <c r="T3" s="2" t="s">
        <v>2022</v>
      </c>
      <c r="U3" s="2" t="s">
        <v>2732</v>
      </c>
      <c r="V3" s="2" t="s">
        <v>1906</v>
      </c>
      <c r="W3" s="2" t="s">
        <v>1550</v>
      </c>
      <c r="X3" s="2" t="s">
        <v>3694</v>
      </c>
      <c r="Y3" s="2" t="s">
        <v>2655</v>
      </c>
      <c r="Z3" s="2" t="s">
        <v>1524</v>
      </c>
      <c r="AA3" s="2" t="s">
        <v>584</v>
      </c>
      <c r="AB3" s="2" t="s">
        <v>3202</v>
      </c>
      <c r="AC3" s="2" t="s">
        <v>2366</v>
      </c>
      <c r="AD3" s="2" t="s">
        <v>3670</v>
      </c>
      <c r="AE3" s="2" t="s">
        <v>3631</v>
      </c>
      <c r="AF3" s="2" t="s">
        <v>1899</v>
      </c>
      <c r="AG3" s="2" t="s">
        <v>3092</v>
      </c>
      <c r="AH3" s="2" t="s">
        <v>3476</v>
      </c>
      <c r="AI3" s="2" t="s">
        <v>1305</v>
      </c>
      <c r="AJ3" s="2" t="s">
        <v>2967</v>
      </c>
      <c r="AK3" s="2" t="s">
        <v>3066</v>
      </c>
      <c r="AL3" s="2" t="s">
        <v>1225</v>
      </c>
      <c r="AM3" s="2" t="s">
        <v>139</v>
      </c>
      <c r="AN3" s="2" t="s">
        <v>2783</v>
      </c>
      <c r="AO3" s="2" t="s">
        <v>2414</v>
      </c>
      <c r="AP3" s="2" t="s">
        <v>1626</v>
      </c>
      <c r="AQ3" s="2" t="s">
        <v>2982</v>
      </c>
      <c r="AR3" s="2" t="s">
        <v>2737</v>
      </c>
      <c r="AS3" s="2" t="s">
        <v>1979</v>
      </c>
      <c r="AT3" s="2" t="s">
        <v>1732</v>
      </c>
      <c r="AU3" s="2" t="s">
        <v>1675</v>
      </c>
      <c r="AV3" s="2" t="s">
        <v>2344</v>
      </c>
      <c r="AW3" s="2" t="s">
        <v>3649</v>
      </c>
      <c r="AX3" s="2" t="s">
        <v>1933</v>
      </c>
      <c r="AY3" s="2" t="s">
        <v>1533</v>
      </c>
      <c r="AZ3" s="2" t="s">
        <v>1800</v>
      </c>
      <c r="BA3" s="2" t="s">
        <v>1818</v>
      </c>
      <c r="BB3" s="2" t="s">
        <v>2057</v>
      </c>
      <c r="BC3" s="2" t="s">
        <v>1433</v>
      </c>
      <c r="BD3" s="2" t="s">
        <v>3635</v>
      </c>
      <c r="BE3" s="2" t="s">
        <v>1159</v>
      </c>
      <c r="BF3" s="2" t="s">
        <v>3613</v>
      </c>
      <c r="BG3" s="2" t="s">
        <v>2376</v>
      </c>
      <c r="BH3" s="2" t="s">
        <v>1274</v>
      </c>
      <c r="BI3" s="2" t="s">
        <v>1198</v>
      </c>
      <c r="BJ3" s="2" t="s">
        <v>3686</v>
      </c>
      <c r="BK3" s="2" t="s">
        <v>2477</v>
      </c>
      <c r="BL3" s="2" t="s">
        <v>3399</v>
      </c>
      <c r="BM3" s="2" t="s">
        <v>3638</v>
      </c>
      <c r="BN3" s="2" t="s">
        <v>1481</v>
      </c>
      <c r="BO3" s="2" t="s">
        <v>410</v>
      </c>
      <c r="BP3" s="2" t="s">
        <v>2357</v>
      </c>
      <c r="BQ3" s="2" t="s">
        <v>3470</v>
      </c>
      <c r="BR3" s="2" t="s">
        <v>3674</v>
      </c>
      <c r="BS3" s="2" t="s">
        <v>1764</v>
      </c>
      <c r="BT3" s="2" t="s">
        <v>1347</v>
      </c>
      <c r="BU3" s="2" t="s">
        <v>3617</v>
      </c>
      <c r="BV3" s="2" t="s">
        <v>3704</v>
      </c>
      <c r="BW3" s="2" t="s">
        <v>1605</v>
      </c>
      <c r="BX3" s="2" t="s">
        <v>880</v>
      </c>
      <c r="BY3" s="2" t="s">
        <v>1541</v>
      </c>
      <c r="BZ3" s="2" t="s">
        <v>3275</v>
      </c>
      <c r="CA3" s="2" t="s">
        <v>1338</v>
      </c>
      <c r="CB3" s="2" t="s">
        <v>3491</v>
      </c>
      <c r="CC3" s="2" t="s">
        <v>239</v>
      </c>
      <c r="CD3" s="2" t="s">
        <v>850</v>
      </c>
      <c r="CE3" s="2" t="s">
        <v>2184</v>
      </c>
      <c r="CF3" s="2" t="s">
        <v>2606</v>
      </c>
      <c r="CG3" s="2" t="s">
        <v>2452</v>
      </c>
      <c r="CH3" s="2" t="s">
        <v>1996</v>
      </c>
      <c r="CI3" s="2" t="s">
        <v>1742</v>
      </c>
      <c r="CJ3" s="2" t="s">
        <v>1856</v>
      </c>
      <c r="CK3" s="2" t="s">
        <v>3460</v>
      </c>
      <c r="CL3" s="2" t="s">
        <v>2283</v>
      </c>
      <c r="CM3" s="2" t="s">
        <v>3110</v>
      </c>
      <c r="CN3" s="2" t="s">
        <v>3530</v>
      </c>
      <c r="CO3" s="2" t="s">
        <v>2997</v>
      </c>
      <c r="CP3" s="2" t="s">
        <v>2422</v>
      </c>
      <c r="CQ3" s="2" t="s">
        <v>2070</v>
      </c>
      <c r="CR3" s="2" t="s">
        <v>3387</v>
      </c>
      <c r="CS3" s="2" t="s">
        <v>1914</v>
      </c>
      <c r="CT3" s="2" t="s">
        <v>1889</v>
      </c>
      <c r="CU3" s="2" t="s">
        <v>1724</v>
      </c>
      <c r="CV3" s="2" t="s">
        <v>3318</v>
      </c>
      <c r="CW3" s="2" t="s">
        <v>2544</v>
      </c>
      <c r="CX3" s="2" t="s">
        <v>2839</v>
      </c>
      <c r="CY3" s="2" t="s">
        <v>1894</v>
      </c>
      <c r="CZ3" s="2" t="s">
        <v>3027</v>
      </c>
      <c r="DA3" s="2" t="s">
        <v>1287</v>
      </c>
      <c r="DB3" s="2" t="s">
        <v>3652</v>
      </c>
      <c r="DC3" s="2" t="s">
        <v>1657</v>
      </c>
      <c r="DD3" s="2" t="s">
        <v>2553</v>
      </c>
      <c r="DE3" s="2" t="s">
        <v>3508</v>
      </c>
      <c r="DF3" s="2" t="s">
        <v>2273</v>
      </c>
      <c r="DG3" s="2" t="s">
        <v>2957</v>
      </c>
      <c r="DH3" s="2" t="s">
        <v>3007</v>
      </c>
      <c r="DI3" s="2" t="s">
        <v>2618</v>
      </c>
      <c r="DJ3" s="2" t="s">
        <v>3522</v>
      </c>
      <c r="DK3" s="2" t="s">
        <v>787</v>
      </c>
      <c r="DL3" s="2" t="s">
        <v>3424</v>
      </c>
      <c r="DM3" s="2" t="s">
        <v>1473</v>
      </c>
      <c r="DN3" s="2" t="s">
        <v>2252</v>
      </c>
      <c r="DO3" s="2" t="s">
        <v>327</v>
      </c>
      <c r="DP3" s="2" t="s">
        <v>2562</v>
      </c>
      <c r="DQ3" s="2" t="s">
        <v>3502</v>
      </c>
      <c r="DR3" s="2" t="s">
        <v>1646</v>
      </c>
      <c r="DS3" s="2" t="s">
        <v>3287</v>
      </c>
      <c r="DT3" s="2" t="s">
        <v>2205</v>
      </c>
      <c r="DU3" s="2" t="s">
        <v>2943</v>
      </c>
      <c r="DV3" s="2" t="s">
        <v>1066</v>
      </c>
      <c r="DW3" s="2" t="s">
        <v>2594</v>
      </c>
      <c r="DX3" s="2" t="s">
        <v>3292</v>
      </c>
      <c r="DY3" s="2" t="s">
        <v>3223</v>
      </c>
      <c r="DZ3" s="2" t="s">
        <v>2485</v>
      </c>
      <c r="EA3" s="2" t="s">
        <v>2690</v>
      </c>
      <c r="EB3" s="2" t="s">
        <v>2907</v>
      </c>
      <c r="EC3" s="2" t="s">
        <v>1705</v>
      </c>
      <c r="ED3" s="2" t="s">
        <v>707</v>
      </c>
      <c r="EE3" s="2" t="s">
        <v>2080</v>
      </c>
      <c r="EF3" s="2" t="s">
        <v>1354</v>
      </c>
      <c r="EG3" s="2" t="s">
        <v>3299</v>
      </c>
      <c r="EH3" s="2" t="s">
        <v>2727</v>
      </c>
      <c r="EI3" s="2" t="s">
        <v>2931</v>
      </c>
      <c r="EJ3" s="2" t="s">
        <v>3264</v>
      </c>
      <c r="EK3" s="2" t="s">
        <v>2297</v>
      </c>
      <c r="EL3" s="2" t="s">
        <v>2034</v>
      </c>
      <c r="EM3" s="2" t="s">
        <v>1639</v>
      </c>
      <c r="EN3" s="2" t="s">
        <v>3330</v>
      </c>
      <c r="EO3" s="2" t="s">
        <v>2188</v>
      </c>
      <c r="EP3" s="2" t="s">
        <v>3170</v>
      </c>
      <c r="EQ3" s="2" t="s">
        <v>3641</v>
      </c>
      <c r="ER3" s="2" t="s">
        <v>3307</v>
      </c>
      <c r="ES3" s="2" t="s">
        <v>3207</v>
      </c>
      <c r="ET3" s="2" t="s">
        <v>995</v>
      </c>
      <c r="EU3" s="2" t="s">
        <v>959</v>
      </c>
      <c r="EV3" s="2" t="s">
        <v>2013</v>
      </c>
      <c r="EW3" s="2" t="s">
        <v>3184</v>
      </c>
      <c r="EX3" s="2" t="s">
        <v>977</v>
      </c>
      <c r="EY3" s="2" t="s">
        <v>1411</v>
      </c>
      <c r="EZ3" s="2" t="s">
        <v>1361</v>
      </c>
      <c r="FA3" s="2" t="s">
        <v>2833</v>
      </c>
      <c r="FB3" s="2" t="s">
        <v>1729</v>
      </c>
      <c r="FC3" s="2" t="s">
        <v>1463</v>
      </c>
      <c r="FD3" s="2" t="s">
        <v>3365</v>
      </c>
      <c r="FE3" s="2" t="s">
        <v>3587</v>
      </c>
      <c r="FF3" s="2" t="s">
        <v>2132</v>
      </c>
      <c r="FG3" s="2" t="s">
        <v>2749</v>
      </c>
      <c r="FH3" s="2" t="s">
        <v>2506</v>
      </c>
      <c r="FI3" s="2" t="s">
        <v>2759</v>
      </c>
      <c r="FJ3" s="2" t="s">
        <v>2695</v>
      </c>
      <c r="FK3" s="2" t="s">
        <v>2776</v>
      </c>
      <c r="FL3" s="2" t="s">
        <v>3241</v>
      </c>
      <c r="FM3" s="2" t="s">
        <v>3448</v>
      </c>
      <c r="FN3" s="2" t="s">
        <v>3498</v>
      </c>
      <c r="FO3" s="2" t="s">
        <v>2396</v>
      </c>
      <c r="FP3" s="2" t="s">
        <v>3134</v>
      </c>
      <c r="FQ3" s="2" t="s">
        <v>2583</v>
      </c>
      <c r="FR3" s="2" t="s">
        <v>3437</v>
      </c>
      <c r="FS3" s="2" t="s">
        <v>2648</v>
      </c>
      <c r="FT3" s="2" t="s">
        <v>2702</v>
      </c>
      <c r="FU3" s="2" t="s">
        <v>2660</v>
      </c>
      <c r="FV3" s="2" t="s">
        <v>1910</v>
      </c>
      <c r="FW3" s="2" t="s">
        <v>1325</v>
      </c>
      <c r="FX3" s="2" t="s">
        <v>739</v>
      </c>
      <c r="FY3" s="2" t="s">
        <v>2822</v>
      </c>
      <c r="FZ3" s="2" t="s">
        <v>2706</v>
      </c>
      <c r="GA3" s="2" t="s">
        <v>1956</v>
      </c>
      <c r="GB3" s="2" t="s">
        <v>2178</v>
      </c>
      <c r="GC3" s="2" t="s">
        <v>1718</v>
      </c>
      <c r="GD3" s="2" t="s">
        <v>2936</v>
      </c>
      <c r="GE3" s="2" t="s">
        <v>2259</v>
      </c>
      <c r="GF3" s="2" t="s">
        <v>2103</v>
      </c>
      <c r="GG3" s="2" t="s">
        <v>2166</v>
      </c>
      <c r="GH3" s="2" t="s">
        <v>3568</v>
      </c>
      <c r="GI3" s="2" t="s">
        <v>3574</v>
      </c>
      <c r="GJ3" s="2" t="s">
        <v>3582</v>
      </c>
      <c r="GK3" s="2" t="s">
        <v>2846</v>
      </c>
      <c r="GL3" s="2" t="s">
        <v>3599</v>
      </c>
      <c r="GM3" s="2" t="s">
        <v>2125</v>
      </c>
      <c r="GN3" s="2" t="s">
        <v>1849</v>
      </c>
      <c r="GO3" s="2" t="s">
        <v>1839</v>
      </c>
      <c r="GP3" s="2" t="s">
        <v>1688</v>
      </c>
      <c r="GQ3" s="2" t="s">
        <v>2640</v>
      </c>
      <c r="GR3" s="2" t="s">
        <v>2716</v>
      </c>
      <c r="GS3" s="2" t="s">
        <v>1753</v>
      </c>
      <c r="GT3" s="2" t="s">
        <v>3413</v>
      </c>
      <c r="GU3" s="2" t="s">
        <v>1771</v>
      </c>
      <c r="GV3" s="2" t="s">
        <v>2515</v>
      </c>
      <c r="GW3" s="2" t="s">
        <v>2611</v>
      </c>
      <c r="GX3" s="2" t="s">
        <v>2667</v>
      </c>
      <c r="GY3" s="2" t="s">
        <v>1873</v>
      </c>
      <c r="GZ3" s="2" t="s">
        <v>2224</v>
      </c>
      <c r="HA3" s="2" t="s">
        <v>2332</v>
      </c>
      <c r="HB3" s="2" t="s">
        <v>1968</v>
      </c>
      <c r="HC3" s="2" t="s">
        <v>2155</v>
      </c>
      <c r="HD3" s="2" t="s">
        <v>2724</v>
      </c>
      <c r="HE3" s="2" t="s">
        <v>2320</v>
      </c>
      <c r="HF3" s="2" t="s">
        <v>2143</v>
      </c>
      <c r="HG3" s="2" t="s">
        <v>2309</v>
      </c>
      <c r="HH3" s="2" t="s">
        <v>1580</v>
      </c>
      <c r="HI3" s="2" t="s">
        <v>2800</v>
      </c>
      <c r="HJ3" s="2" t="s">
        <v>3593</v>
      </c>
      <c r="HK3" s="2" t="s">
        <v>3193</v>
      </c>
      <c r="HL3" s="2" t="s">
        <v>2645</v>
      </c>
      <c r="HM3" s="2" t="s">
        <v>3554</v>
      </c>
      <c r="HN3" s="2" t="s">
        <v>3048</v>
      </c>
      <c r="HO3" s="2" t="s">
        <v>1468</v>
      </c>
      <c r="HP3" s="2" t="s">
        <v>1457</v>
      </c>
      <c r="HQ3" s="2" t="s">
        <v>3486</v>
      </c>
      <c r="HR3" s="2" t="s">
        <v>2806</v>
      </c>
      <c r="HS3" s="2" t="s">
        <v>2566</v>
      </c>
      <c r="HT3" s="2" t="s">
        <v>1696</v>
      </c>
      <c r="HU3" s="2" t="s">
        <v>1400</v>
      </c>
      <c r="HV3" s="2" t="s">
        <v>2991</v>
      </c>
      <c r="HW3" s="2" t="s">
        <v>3610</v>
      </c>
      <c r="HX3" s="2" t="s">
        <v>323</v>
      </c>
      <c r="HY3" s="2" t="s">
        <v>2493</v>
      </c>
      <c r="HZ3" s="2" t="s">
        <v>1920</v>
      </c>
      <c r="IA3" s="2" t="s">
        <v>451</v>
      </c>
      <c r="IB3" s="2" t="s">
        <v>3251</v>
      </c>
      <c r="IC3" s="2" t="s">
        <v>1776</v>
      </c>
      <c r="ID3" s="2" t="s">
        <v>1595</v>
      </c>
      <c r="IE3" s="2" t="s">
        <v>2949</v>
      </c>
      <c r="IF3" s="2" t="s">
        <v>2216</v>
      </c>
      <c r="IG3" s="2" t="s">
        <v>2682</v>
      </c>
      <c r="IH3" s="2" t="s">
        <v>2925</v>
      </c>
      <c r="II3" s="2" t="s">
        <v>1612</v>
      </c>
      <c r="IJ3" s="2" t="s">
        <v>1825</v>
      </c>
      <c r="IK3" s="2" t="s">
        <v>1664</v>
      </c>
      <c r="IL3" s="2" t="s">
        <v>2676</v>
      </c>
      <c r="IM3" s="2" t="s">
        <v>2459</v>
      </c>
      <c r="IN3" s="2" t="s">
        <v>2447</v>
      </c>
      <c r="IO3" s="2" t="s">
        <v>2231</v>
      </c>
      <c r="IP3" s="2" t="s">
        <v>1939</v>
      </c>
      <c r="IQ3" s="2" t="s">
        <v>2192</v>
      </c>
      <c r="IR3" s="2" t="s">
        <v>2017</v>
      </c>
      <c r="IS3" s="2" t="s">
        <v>1380</v>
      </c>
      <c r="IT3" s="2" t="s">
        <v>1418</v>
      </c>
      <c r="IU3" s="2" t="s">
        <v>1832</v>
      </c>
      <c r="IV3" s="2" t="s">
        <v>817</v>
      </c>
      <c r="IW3" s="2" t="s">
        <v>2520</v>
      </c>
      <c r="IX3" s="2" t="s">
        <v>1791</v>
      </c>
      <c r="IY3" s="2" t="s">
        <v>2435</v>
      </c>
      <c r="IZ3" s="2" t="s">
        <v>3272</v>
      </c>
      <c r="JA3" s="2" t="s">
        <v>2748</v>
      </c>
      <c r="JB3" s="2" t="s">
        <v>3371</v>
      </c>
      <c r="JC3" s="2" t="s">
        <v>2326</v>
      </c>
      <c r="JD3" s="2" t="s">
        <v>2795</v>
      </c>
      <c r="JE3" s="2" t="s">
        <v>3083</v>
      </c>
      <c r="JF3" s="2" t="s">
        <v>2818</v>
      </c>
      <c r="JG3" s="2" t="s">
        <v>3031</v>
      </c>
      <c r="JH3" s="2" t="s">
        <v>2039</v>
      </c>
      <c r="JI3" s="2" t="s">
        <v>1246</v>
      </c>
      <c r="JJ3" s="2" t="s">
        <v>1446</v>
      </c>
      <c r="JK3" s="2" t="s">
        <v>1393</v>
      </c>
      <c r="JL3" s="2" t="s">
        <v>3012</v>
      </c>
      <c r="JM3" s="2" t="s">
        <v>1027</v>
      </c>
      <c r="JN3" s="2" t="s">
        <v>1683</v>
      </c>
      <c r="JO3" s="2" t="s">
        <v>3296</v>
      </c>
      <c r="JP3" s="2" t="s">
        <v>1450</v>
      </c>
      <c r="JQ3" s="2" t="s">
        <v>1258</v>
      </c>
      <c r="JR3" s="2" t="s">
        <v>2964</v>
      </c>
      <c r="JS3" s="2" t="s">
        <v>3096</v>
      </c>
      <c r="JT3" s="2" t="s">
        <v>327</v>
      </c>
      <c r="JU3" s="2" t="s">
        <v>3348</v>
      </c>
      <c r="JV3" s="2" t="s">
        <v>472</v>
      </c>
      <c r="JW3" s="2" t="s">
        <v>2532</v>
      </c>
      <c r="JX3" s="2" t="s">
        <v>2240</v>
      </c>
      <c r="JY3" s="2" t="s">
        <v>2572</v>
      </c>
      <c r="JZ3" s="2" t="s">
        <v>1266</v>
      </c>
      <c r="KA3" s="2" t="s">
        <v>2444</v>
      </c>
      <c r="KB3" s="2" t="s">
        <v>3515</v>
      </c>
      <c r="KC3" s="2" t="s">
        <v>2869</v>
      </c>
      <c r="KD3" s="2" t="s">
        <v>1782</v>
      </c>
      <c r="KE3" s="2" t="s">
        <v>3484</v>
      </c>
      <c r="KF3" s="2" t="s">
        <v>2791</v>
      </c>
      <c r="KG3" s="2" t="s">
        <v>1404</v>
      </c>
      <c r="KH3" s="2" t="s">
        <v>3116</v>
      </c>
      <c r="KI3" s="2" t="s">
        <v>3383</v>
      </c>
      <c r="KJ3" s="2" t="s">
        <v>1853</v>
      </c>
      <c r="KK3" s="2" t="s">
        <v>3604</v>
      </c>
      <c r="KL3" s="2" t="s">
        <v>1311</v>
      </c>
      <c r="KM3" s="2" t="s">
        <v>1373</v>
      </c>
      <c r="KN3" s="2" t="s">
        <v>1712</v>
      </c>
      <c r="KO3" s="2" t="s">
        <v>1424</v>
      </c>
      <c r="KP3" s="2" t="s">
        <v>2497</v>
      </c>
      <c r="KQ3" s="2" t="s">
        <v>914</v>
      </c>
      <c r="KR3" s="2" t="s">
        <v>1386</v>
      </c>
      <c r="KS3" s="2" t="s">
        <v>1881</v>
      </c>
      <c r="KT3" s="2" t="s">
        <v>2787</v>
      </c>
      <c r="KU3" s="2" t="s">
        <v>2712</v>
      </c>
      <c r="KV3" s="2" t="s">
        <v>880</v>
      </c>
      <c r="KW3" s="2" t="s">
        <v>3661</v>
      </c>
      <c r="KX3" s="2" t="s">
        <v>3711</v>
      </c>
      <c r="KY3" s="2" t="s">
        <v>3035</v>
      </c>
      <c r="KZ3" s="2" t="s">
        <v>1323</v>
      </c>
      <c r="LA3" s="2" t="s">
        <v>3358</v>
      </c>
      <c r="LB3" s="2" t="s">
        <v>3537</v>
      </c>
      <c r="LC3" s="2" t="s">
        <v>2483</v>
      </c>
      <c r="LD3" s="2" t="s">
        <v>3019</v>
      </c>
      <c r="LE3" s="2" t="s">
        <v>2113</v>
      </c>
      <c r="LF3" s="2" t="s">
        <v>1328</v>
      </c>
      <c r="LG3" s="2" t="s">
        <v>2630</v>
      </c>
      <c r="LH3" s="2" t="s">
        <v>1845</v>
      </c>
      <c r="LI3" s="2" t="s">
        <v>2386</v>
      </c>
      <c r="LJ3" s="2" t="s">
        <v>1516</v>
      </c>
      <c r="LK3" s="2" t="s">
        <v>2292</v>
      </c>
      <c r="LL3" s="2" t="s">
        <v>1525</v>
      </c>
      <c r="LM3" s="2" t="s">
        <v>2036</v>
      </c>
      <c r="LN3" s="2" t="s">
        <v>2467</v>
      </c>
      <c r="LO3" s="2" t="s">
        <v>3578</v>
      </c>
      <c r="LP3" s="2" t="s">
        <v>1866</v>
      </c>
      <c r="LQ3" s="2" t="s">
        <v>2408</v>
      </c>
      <c r="LR3" s="2" t="s">
        <v>1589</v>
      </c>
      <c r="LS3" s="2" t="s">
        <v>3142</v>
      </c>
      <c r="LT3" s="2" t="s">
        <v>3158</v>
      </c>
      <c r="LU3" s="2" t="s">
        <v>3126</v>
      </c>
      <c r="LV3" s="2" t="s">
        <v>1500</v>
      </c>
      <c r="LW3" s="2" t="s">
        <v>1989</v>
      </c>
    </row>
    <row r="4" spans="1:335">
      <c r="A4" s="2" t="s">
        <v>1577</v>
      </c>
      <c r="B4" s="2" t="s">
        <v>2851</v>
      </c>
      <c r="C4" s="2" t="s">
        <v>1945</v>
      </c>
      <c r="D4" s="2" t="s">
        <v>2338</v>
      </c>
      <c r="E4" s="2" t="s">
        <v>1609</v>
      </c>
      <c r="F4" s="2" t="s">
        <v>2092</v>
      </c>
      <c r="G4" s="2" t="s">
        <v>2139</v>
      </c>
      <c r="H4" s="2" t="s">
        <v>3623</v>
      </c>
      <c r="I4" s="2" t="s">
        <v>3547</v>
      </c>
      <c r="J4" s="2" t="s">
        <v>1111</v>
      </c>
      <c r="K4" s="2" t="s">
        <v>239</v>
      </c>
      <c r="L4" s="2" t="s">
        <v>3234</v>
      </c>
      <c r="M4" s="2" t="s">
        <v>1368</v>
      </c>
      <c r="N4" s="2" t="s">
        <v>1810</v>
      </c>
      <c r="O4" s="2" t="s">
        <v>3219</v>
      </c>
      <c r="P4" s="2" t="s">
        <v>1295</v>
      </c>
      <c r="Q4" s="2" t="s">
        <v>1244</v>
      </c>
      <c r="R4" s="2" t="s">
        <v>581</v>
      </c>
      <c r="S4" s="2" t="s">
        <v>2972</v>
      </c>
      <c r="T4" s="2" t="s">
        <v>2023</v>
      </c>
      <c r="U4" s="2" t="s">
        <v>2733</v>
      </c>
      <c r="V4" s="2" t="s">
        <v>1907</v>
      </c>
      <c r="W4" s="2" t="s">
        <v>1551</v>
      </c>
      <c r="X4" s="2" t="s">
        <v>3695</v>
      </c>
      <c r="Y4" s="2" t="s">
        <v>2656</v>
      </c>
      <c r="Z4" s="2" t="s">
        <v>1567</v>
      </c>
      <c r="AA4" s="2" t="s">
        <v>587</v>
      </c>
      <c r="AB4" s="2" t="s">
        <v>3203</v>
      </c>
      <c r="AC4" s="2" t="s">
        <v>2367</v>
      </c>
      <c r="AD4" s="2" t="s">
        <v>3671</v>
      </c>
      <c r="AE4" s="2" t="s">
        <v>3632</v>
      </c>
      <c r="AF4" s="2" t="s">
        <v>1900</v>
      </c>
      <c r="AG4" s="2" t="s">
        <v>3093</v>
      </c>
      <c r="AH4" s="2" t="s">
        <v>3477</v>
      </c>
      <c r="AI4" s="2" t="s">
        <v>1306</v>
      </c>
      <c r="AJ4" s="2" t="s">
        <v>2968</v>
      </c>
      <c r="AK4" s="2" t="s">
        <v>3067</v>
      </c>
      <c r="AL4" s="2" t="s">
        <v>1228</v>
      </c>
      <c r="AM4" s="2" t="s">
        <v>149</v>
      </c>
      <c r="AN4" s="2" t="s">
        <v>2784</v>
      </c>
      <c r="AO4" s="2" t="s">
        <v>2415</v>
      </c>
      <c r="AP4" s="2" t="s">
        <v>1627</v>
      </c>
      <c r="AQ4" s="2" t="s">
        <v>2983</v>
      </c>
      <c r="AR4" s="2" t="s">
        <v>2738</v>
      </c>
      <c r="AS4" s="2" t="s">
        <v>1980</v>
      </c>
      <c r="AT4" s="2" t="s">
        <v>2005</v>
      </c>
      <c r="AU4" s="2" t="s">
        <v>1676</v>
      </c>
      <c r="AV4" s="2" t="s">
        <v>2345</v>
      </c>
      <c r="AW4" s="2" t="s">
        <v>3650</v>
      </c>
      <c r="AX4" s="2" t="s">
        <v>1934</v>
      </c>
      <c r="AY4" s="2" t="s">
        <v>1534</v>
      </c>
      <c r="AZ4" s="2" t="s">
        <v>1801</v>
      </c>
      <c r="BA4" s="2" t="s">
        <v>1819</v>
      </c>
      <c r="BB4" s="2" t="s">
        <v>2058</v>
      </c>
      <c r="BC4" s="2" t="s">
        <v>1434</v>
      </c>
      <c r="BD4" s="2" t="s">
        <v>3636</v>
      </c>
      <c r="BE4" s="2" t="s">
        <v>1162</v>
      </c>
      <c r="BF4" s="2" t="s">
        <v>3614</v>
      </c>
      <c r="BG4" s="2" t="s">
        <v>2377</v>
      </c>
      <c r="BH4" s="2" t="s">
        <v>1275</v>
      </c>
      <c r="BI4" s="2" t="s">
        <v>1201</v>
      </c>
      <c r="BJ4" s="2" t="s">
        <v>3687</v>
      </c>
      <c r="BK4" s="2" t="s">
        <v>2478</v>
      </c>
      <c r="BL4" s="2" t="s">
        <v>3400</v>
      </c>
      <c r="BM4" s="2" t="s">
        <v>3639</v>
      </c>
      <c r="BN4" s="2" t="s">
        <v>1482</v>
      </c>
      <c r="BO4" s="2" t="s">
        <v>413</v>
      </c>
      <c r="BP4" s="2" t="s">
        <v>2358</v>
      </c>
      <c r="BQ4" s="2" t="s">
        <v>3471</v>
      </c>
      <c r="BR4" s="2" t="s">
        <v>3675</v>
      </c>
      <c r="BS4" s="2" t="s">
        <v>1765</v>
      </c>
      <c r="BT4" s="2" t="s">
        <v>1441</v>
      </c>
      <c r="BU4" s="2" t="s">
        <v>3618</v>
      </c>
      <c r="BV4" s="2" t="s">
        <v>3705</v>
      </c>
      <c r="BW4" s="2" t="s">
        <v>1606</v>
      </c>
      <c r="BX4" s="2" t="s">
        <v>883</v>
      </c>
      <c r="BY4" s="2" t="s">
        <v>1542</v>
      </c>
      <c r="BZ4" s="2" t="s">
        <v>3276</v>
      </c>
      <c r="CA4" s="2" t="s">
        <v>1339</v>
      </c>
      <c r="CB4" s="2" t="s">
        <v>3492</v>
      </c>
      <c r="CC4" s="2" t="s">
        <v>244</v>
      </c>
      <c r="CD4" s="2" t="s">
        <v>853</v>
      </c>
      <c r="CE4" s="2" t="s">
        <v>2185</v>
      </c>
      <c r="CF4" s="2" t="s">
        <v>2607</v>
      </c>
      <c r="CG4" s="2" t="s">
        <v>2453</v>
      </c>
      <c r="CH4" s="2" t="s">
        <v>1997</v>
      </c>
      <c r="CI4" s="2" t="s">
        <v>1743</v>
      </c>
      <c r="CJ4" s="2" t="s">
        <v>914</v>
      </c>
      <c r="CK4" s="2" t="s">
        <v>3461</v>
      </c>
      <c r="CL4" s="2" t="s">
        <v>2284</v>
      </c>
      <c r="CM4" s="2" t="s">
        <v>3111</v>
      </c>
      <c r="CN4" s="2" t="s">
        <v>3531</v>
      </c>
      <c r="CO4" s="2" t="s">
        <v>2998</v>
      </c>
      <c r="CP4" s="2" t="s">
        <v>2423</v>
      </c>
      <c r="CQ4" s="2" t="s">
        <v>2071</v>
      </c>
      <c r="CR4" s="2" t="s">
        <v>3388</v>
      </c>
      <c r="CS4" s="2" t="s">
        <v>1915</v>
      </c>
      <c r="CT4" s="2" t="s">
        <v>1890</v>
      </c>
      <c r="CU4" s="2" t="s">
        <v>1725</v>
      </c>
      <c r="CV4" s="2" t="s">
        <v>3319</v>
      </c>
      <c r="CW4" s="2" t="s">
        <v>2545</v>
      </c>
      <c r="CX4" s="2" t="s">
        <v>2840</v>
      </c>
      <c r="CY4" s="2" t="s">
        <v>1895</v>
      </c>
      <c r="CZ4" s="2" t="s">
        <v>3028</v>
      </c>
      <c r="DA4" s="2" t="s">
        <v>1288</v>
      </c>
      <c r="DB4" s="2" t="s">
        <v>3653</v>
      </c>
      <c r="DC4" s="2" t="s">
        <v>1658</v>
      </c>
      <c r="DD4" s="2" t="s">
        <v>2554</v>
      </c>
      <c r="DE4" s="2" t="s">
        <v>3509</v>
      </c>
      <c r="DF4" s="2" t="s">
        <v>2274</v>
      </c>
      <c r="DG4" s="2" t="s">
        <v>2958</v>
      </c>
      <c r="DH4" s="2" t="s">
        <v>3008</v>
      </c>
      <c r="DI4" s="2" t="s">
        <v>2619</v>
      </c>
      <c r="DJ4" s="2" t="s">
        <v>3523</v>
      </c>
      <c r="DK4" s="2" t="s">
        <v>790</v>
      </c>
      <c r="DL4" s="2" t="s">
        <v>3425</v>
      </c>
      <c r="DM4" s="2" t="s">
        <v>1474</v>
      </c>
      <c r="DN4" s="2" t="s">
        <v>1629</v>
      </c>
      <c r="DO4" s="2" t="s">
        <v>660</v>
      </c>
      <c r="DP4" s="2" t="s">
        <v>2563</v>
      </c>
      <c r="DQ4" s="2" t="s">
        <v>3503</v>
      </c>
      <c r="DR4" s="2" t="s">
        <v>1647</v>
      </c>
      <c r="DS4" s="2" t="s">
        <v>3288</v>
      </c>
      <c r="DT4" s="2" t="s">
        <v>2206</v>
      </c>
      <c r="DU4" s="2" t="s">
        <v>2944</v>
      </c>
      <c r="DV4" s="2" t="s">
        <v>1069</v>
      </c>
      <c r="DW4" s="2" t="s">
        <v>2595</v>
      </c>
      <c r="DX4" s="2" t="s">
        <v>3293</v>
      </c>
      <c r="DY4" s="2" t="s">
        <v>3224</v>
      </c>
      <c r="DZ4" s="2" t="s">
        <v>2486</v>
      </c>
      <c r="EA4" s="2" t="s">
        <v>2691</v>
      </c>
      <c r="EB4" s="2" t="s">
        <v>2908</v>
      </c>
      <c r="EC4" s="2" t="s">
        <v>1706</v>
      </c>
      <c r="ED4" s="2" t="s">
        <v>710</v>
      </c>
      <c r="EE4" s="2" t="s">
        <v>2081</v>
      </c>
      <c r="EF4" s="2" t="s">
        <v>1355</v>
      </c>
      <c r="EG4" s="2" t="s">
        <v>3300</v>
      </c>
      <c r="EH4" s="2" t="s">
        <v>2728</v>
      </c>
      <c r="EI4" s="2" t="s">
        <v>2932</v>
      </c>
      <c r="EJ4" s="2" t="s">
        <v>3265</v>
      </c>
      <c r="EK4" s="2" t="s">
        <v>2298</v>
      </c>
      <c r="EL4" s="2"/>
      <c r="EM4" s="2" t="s">
        <v>1640</v>
      </c>
      <c r="EN4" s="2" t="s">
        <v>3331</v>
      </c>
      <c r="EO4" s="2" t="s">
        <v>2189</v>
      </c>
      <c r="EP4" s="2" t="s">
        <v>3171</v>
      </c>
      <c r="EQ4" s="2" t="s">
        <v>3642</v>
      </c>
      <c r="ER4" s="2" t="s">
        <v>3308</v>
      </c>
      <c r="ES4" s="2" t="s">
        <v>3208</v>
      </c>
      <c r="ET4" s="2" t="s">
        <v>998</v>
      </c>
      <c r="EU4" s="2" t="s">
        <v>962</v>
      </c>
      <c r="EV4" s="2" t="s">
        <v>2014</v>
      </c>
      <c r="EW4" s="2" t="s">
        <v>3185</v>
      </c>
      <c r="EX4" s="2" t="s">
        <v>980</v>
      </c>
      <c r="EY4" s="2" t="s">
        <v>1412</v>
      </c>
      <c r="EZ4" s="2" t="s">
        <v>1362</v>
      </c>
      <c r="FA4" s="2" t="s">
        <v>2834</v>
      </c>
      <c r="FB4" s="2" t="s">
        <v>1730</v>
      </c>
      <c r="FC4" s="2" t="s">
        <v>1464</v>
      </c>
      <c r="FD4" s="2" t="s">
        <v>3366</v>
      </c>
      <c r="FE4" s="2" t="s">
        <v>3588</v>
      </c>
      <c r="FF4" s="2" t="s">
        <v>2133</v>
      </c>
      <c r="FG4" s="2" t="s">
        <v>2750</v>
      </c>
      <c r="FH4" s="2" t="s">
        <v>2507</v>
      </c>
      <c r="FI4" s="2" t="s">
        <v>2760</v>
      </c>
      <c r="FJ4" s="2" t="s">
        <v>2696</v>
      </c>
      <c r="FK4" s="2" t="s">
        <v>2777</v>
      </c>
      <c r="FL4" s="2" t="s">
        <v>3242</v>
      </c>
      <c r="FM4" s="2" t="s">
        <v>3449</v>
      </c>
      <c r="FN4" s="2" t="s">
        <v>3499</v>
      </c>
      <c r="FO4" s="2" t="s">
        <v>2397</v>
      </c>
      <c r="FP4" s="2" t="s">
        <v>3135</v>
      </c>
      <c r="FQ4" s="2" t="s">
        <v>2584</v>
      </c>
      <c r="FR4" s="2" t="s">
        <v>3438</v>
      </c>
      <c r="FS4" s="2" t="s">
        <v>2649</v>
      </c>
      <c r="FT4" s="2" t="s">
        <v>2703</v>
      </c>
      <c r="FU4" s="2" t="s">
        <v>2661</v>
      </c>
      <c r="FV4" s="2" t="s">
        <v>1911</v>
      </c>
      <c r="FW4" s="2" t="s">
        <v>1326</v>
      </c>
      <c r="FX4" s="2" t="s">
        <v>742</v>
      </c>
      <c r="FY4" s="2" t="s">
        <v>2823</v>
      </c>
      <c r="FZ4" s="2" t="s">
        <v>2707</v>
      </c>
      <c r="GA4" s="2" t="s">
        <v>1957</v>
      </c>
      <c r="GB4" s="2" t="s">
        <v>2179</v>
      </c>
      <c r="GC4" s="2" t="s">
        <v>1719</v>
      </c>
      <c r="GD4" s="2" t="s">
        <v>2937</v>
      </c>
      <c r="GE4" s="2" t="s">
        <v>2260</v>
      </c>
      <c r="GF4" s="2" t="s">
        <v>2104</v>
      </c>
      <c r="GG4" s="2" t="s">
        <v>2167</v>
      </c>
      <c r="GH4" s="2" t="s">
        <v>3569</v>
      </c>
      <c r="GI4" s="2" t="s">
        <v>3575</v>
      </c>
      <c r="GJ4" s="2" t="s">
        <v>3583</v>
      </c>
      <c r="GK4" s="2" t="s">
        <v>2847</v>
      </c>
      <c r="GL4" s="2" t="s">
        <v>3600</v>
      </c>
      <c r="GM4" s="2" t="s">
        <v>2126</v>
      </c>
      <c r="GN4" s="2" t="s">
        <v>1850</v>
      </c>
      <c r="GO4" s="2" t="s">
        <v>1840</v>
      </c>
      <c r="GP4" s="2" t="s">
        <v>1689</v>
      </c>
      <c r="GQ4" s="2" t="s">
        <v>1526</v>
      </c>
      <c r="GR4" s="2" t="s">
        <v>2717</v>
      </c>
      <c r="GS4" s="2" t="s">
        <v>1754</v>
      </c>
      <c r="GT4" s="2" t="s">
        <v>3414</v>
      </c>
      <c r="GU4" s="2" t="s">
        <v>1772</v>
      </c>
      <c r="GV4" s="2" t="s">
        <v>2516</v>
      </c>
      <c r="GW4" s="2" t="s">
        <v>2612</v>
      </c>
      <c r="GX4" s="2" t="s">
        <v>2668</v>
      </c>
      <c r="GY4" s="2" t="s">
        <v>1874</v>
      </c>
      <c r="GZ4" s="2" t="s">
        <v>2225</v>
      </c>
      <c r="HA4" s="2" t="s">
        <v>2333</v>
      </c>
      <c r="HB4" s="2" t="s">
        <v>1969</v>
      </c>
      <c r="HC4" s="2" t="s">
        <v>2156</v>
      </c>
      <c r="HD4" s="2" t="s">
        <v>2725</v>
      </c>
      <c r="HE4" s="2" t="s">
        <v>2321</v>
      </c>
      <c r="HF4" s="2" t="s">
        <v>2144</v>
      </c>
      <c r="HG4" s="2" t="s">
        <v>2310</v>
      </c>
      <c r="HH4" s="2" t="s">
        <v>1581</v>
      </c>
      <c r="HI4" s="2" t="s">
        <v>2801</v>
      </c>
      <c r="HJ4" s="2" t="s">
        <v>3594</v>
      </c>
      <c r="HK4" s="2" t="s">
        <v>3194</v>
      </c>
      <c r="HL4" s="2" t="s">
        <v>2646</v>
      </c>
      <c r="HM4" s="2" t="s">
        <v>3555</v>
      </c>
      <c r="HN4" s="2" t="s">
        <v>3049</v>
      </c>
      <c r="HO4" s="2" t="s">
        <v>1469</v>
      </c>
      <c r="HP4" s="2" t="s">
        <v>1458</v>
      </c>
      <c r="HQ4" s="2" t="s">
        <v>3487</v>
      </c>
      <c r="HR4" s="2" t="s">
        <v>2807</v>
      </c>
      <c r="HS4" s="2" t="s">
        <v>2567</v>
      </c>
      <c r="HT4" s="2" t="s">
        <v>1697</v>
      </c>
      <c r="HU4" s="2" t="s">
        <v>1401</v>
      </c>
      <c r="HV4" s="2" t="s">
        <v>2992</v>
      </c>
      <c r="HW4" s="2" t="s">
        <v>3611</v>
      </c>
      <c r="HX4" s="2" t="s">
        <v>327</v>
      </c>
      <c r="HY4" s="2" t="s">
        <v>2494</v>
      </c>
      <c r="HZ4" s="2" t="s">
        <v>1921</v>
      </c>
      <c r="IA4" s="2" t="s">
        <v>454</v>
      </c>
      <c r="IB4" s="2" t="s">
        <v>3252</v>
      </c>
      <c r="IC4" s="2" t="s">
        <v>1777</v>
      </c>
      <c r="ID4" s="2" t="s">
        <v>1596</v>
      </c>
      <c r="IE4" s="2" t="s">
        <v>2950</v>
      </c>
      <c r="IF4" s="2" t="s">
        <v>2217</v>
      </c>
      <c r="IG4" s="2" t="s">
        <v>2683</v>
      </c>
      <c r="IH4" s="2" t="s">
        <v>2926</v>
      </c>
      <c r="II4" s="2" t="s">
        <v>1797</v>
      </c>
      <c r="IJ4" s="2" t="s">
        <v>1826</v>
      </c>
      <c r="IK4" s="2" t="s">
        <v>1665</v>
      </c>
      <c r="IL4" s="2" t="s">
        <v>2677</v>
      </c>
      <c r="IM4" s="2" t="s">
        <v>2460</v>
      </c>
      <c r="IN4" s="2" t="s">
        <v>2448</v>
      </c>
      <c r="IO4" s="2" t="s">
        <v>2232</v>
      </c>
      <c r="IP4" s="2" t="s">
        <v>1940</v>
      </c>
      <c r="IQ4" s="2"/>
      <c r="IR4" s="2" t="s">
        <v>2018</v>
      </c>
      <c r="IS4" s="2" t="s">
        <v>1381</v>
      </c>
      <c r="IT4" s="2" t="s">
        <v>1419</v>
      </c>
      <c r="IU4" s="2" t="s">
        <v>1833</v>
      </c>
      <c r="IV4" s="2" t="s">
        <v>820</v>
      </c>
      <c r="IW4" s="2" t="s">
        <v>2521</v>
      </c>
      <c r="IX4" s="2" t="s">
        <v>1792</v>
      </c>
      <c r="IY4" s="2" t="s">
        <v>2436</v>
      </c>
      <c r="IZ4" s="2" t="s">
        <v>3273</v>
      </c>
      <c r="JA4" s="2" t="s">
        <v>3562</v>
      </c>
      <c r="JB4" s="2" t="s">
        <v>3372</v>
      </c>
      <c r="JC4" s="2" t="s">
        <v>2327</v>
      </c>
      <c r="JD4" s="2" t="s">
        <v>2796</v>
      </c>
      <c r="JE4" s="2" t="s">
        <v>3084</v>
      </c>
      <c r="JF4" s="2" t="s">
        <v>2819</v>
      </c>
      <c r="JG4" s="2" t="s">
        <v>3032</v>
      </c>
      <c r="JH4" s="2" t="s">
        <v>2040</v>
      </c>
      <c r="JI4" s="2" t="s">
        <v>1247</v>
      </c>
      <c r="JJ4" s="2" t="s">
        <v>1447</v>
      </c>
      <c r="JK4" s="2" t="s">
        <v>1394</v>
      </c>
      <c r="JL4" s="2" t="s">
        <v>3013</v>
      </c>
      <c r="JM4" s="2" t="s">
        <v>1030</v>
      </c>
      <c r="JN4" s="2" t="s">
        <v>1385</v>
      </c>
      <c r="JO4" s="2" t="s">
        <v>3297</v>
      </c>
      <c r="JP4" s="2" t="s">
        <v>1451</v>
      </c>
      <c r="JQ4" s="2" t="s">
        <v>1259</v>
      </c>
      <c r="JR4" s="2" t="s">
        <v>2965</v>
      </c>
      <c r="JS4" s="2" t="s">
        <v>3097</v>
      </c>
      <c r="JT4" s="2" t="s">
        <v>530</v>
      </c>
      <c r="JU4" s="2" t="s">
        <v>3349</v>
      </c>
      <c r="JV4" s="2" t="s">
        <v>475</v>
      </c>
      <c r="JW4" s="2" t="s">
        <v>2533</v>
      </c>
      <c r="JX4" s="2" t="s">
        <v>2241</v>
      </c>
      <c r="JY4" s="2" t="s">
        <v>2573</v>
      </c>
      <c r="JZ4" s="2" t="s">
        <v>1267</v>
      </c>
      <c r="KA4" s="2" t="s">
        <v>2445</v>
      </c>
      <c r="KB4" s="2" t="s">
        <v>3516</v>
      </c>
      <c r="KC4" s="2" t="s">
        <v>2870</v>
      </c>
      <c r="KD4" s="2" t="s">
        <v>1783</v>
      </c>
      <c r="KE4" s="2"/>
      <c r="KF4" s="2" t="s">
        <v>2792</v>
      </c>
      <c r="KG4" s="2" t="s">
        <v>1405</v>
      </c>
      <c r="KH4" s="2" t="s">
        <v>3117</v>
      </c>
      <c r="KI4" s="2" t="s">
        <v>3384</v>
      </c>
      <c r="KJ4" s="2" t="s">
        <v>914</v>
      </c>
      <c r="KK4" s="2" t="s">
        <v>3605</v>
      </c>
      <c r="KL4" s="2" t="s">
        <v>1312</v>
      </c>
      <c r="KM4" s="2" t="s">
        <v>1374</v>
      </c>
      <c r="KN4" s="2" t="s">
        <v>1713</v>
      </c>
      <c r="KO4" s="2" t="s">
        <v>163</v>
      </c>
      <c r="KP4" s="2" t="s">
        <v>2498</v>
      </c>
      <c r="KQ4" s="2" t="s">
        <v>925</v>
      </c>
      <c r="KR4" s="2" t="s">
        <v>1387</v>
      </c>
      <c r="KS4" s="2" t="s">
        <v>1882</v>
      </c>
      <c r="KT4" s="2" t="s">
        <v>2788</v>
      </c>
      <c r="KU4" s="2" t="s">
        <v>2713</v>
      </c>
      <c r="KV4" s="2" t="s">
        <v>914</v>
      </c>
      <c r="KW4" s="2" t="s">
        <v>3662</v>
      </c>
      <c r="KX4" s="2" t="s">
        <v>3712</v>
      </c>
      <c r="KY4" s="2" t="s">
        <v>3036</v>
      </c>
      <c r="KZ4" s="2" t="s">
        <v>1324</v>
      </c>
      <c r="LA4" s="2" t="s">
        <v>3359</v>
      </c>
      <c r="LB4" s="2" t="s">
        <v>3538</v>
      </c>
      <c r="LC4" s="2"/>
      <c r="LD4" s="2" t="s">
        <v>3020</v>
      </c>
      <c r="LE4" s="2" t="s">
        <v>2114</v>
      </c>
      <c r="LF4" s="2" t="s">
        <v>1348</v>
      </c>
      <c r="LG4" s="2" t="s">
        <v>2631</v>
      </c>
      <c r="LH4" s="2" t="s">
        <v>1846</v>
      </c>
      <c r="LI4" s="2" t="s">
        <v>2387</v>
      </c>
      <c r="LJ4" s="2" t="s">
        <v>1517</v>
      </c>
      <c r="LK4" s="2" t="s">
        <v>2293</v>
      </c>
      <c r="LL4" s="2" t="s">
        <v>1526</v>
      </c>
      <c r="LM4" s="2" t="s">
        <v>2037</v>
      </c>
      <c r="LN4" s="2" t="s">
        <v>2468</v>
      </c>
      <c r="LO4" s="2" t="s">
        <v>3579</v>
      </c>
      <c r="LP4" s="2" t="s">
        <v>1867</v>
      </c>
      <c r="LQ4" s="2" t="s">
        <v>2409</v>
      </c>
      <c r="LR4" s="2" t="s">
        <v>1590</v>
      </c>
      <c r="LS4" s="2" t="s">
        <v>3143</v>
      </c>
      <c r="LT4" s="2" t="s">
        <v>3159</v>
      </c>
      <c r="LU4" s="2" t="s">
        <v>3127</v>
      </c>
      <c r="LV4" s="2" t="s">
        <v>1501</v>
      </c>
      <c r="LW4" s="2" t="s">
        <v>1990</v>
      </c>
    </row>
    <row r="5" spans="1:335">
      <c r="A5" s="2" t="s">
        <v>1578</v>
      </c>
      <c r="B5" s="2" t="s">
        <v>2852</v>
      </c>
      <c r="C5" s="2" t="s">
        <v>1946</v>
      </c>
      <c r="D5" s="2" t="s">
        <v>2339</v>
      </c>
      <c r="E5" s="2" t="s">
        <v>1610</v>
      </c>
      <c r="F5" s="2" t="s">
        <v>2093</v>
      </c>
      <c r="G5" s="2" t="s">
        <v>2140</v>
      </c>
      <c r="H5" s="2"/>
      <c r="I5" s="2" t="s">
        <v>3548</v>
      </c>
      <c r="J5" s="2" t="s">
        <v>1114</v>
      </c>
      <c r="K5" s="2" t="s">
        <v>2195</v>
      </c>
      <c r="L5" s="2" t="s">
        <v>3235</v>
      </c>
      <c r="M5" s="2" t="s">
        <v>1369</v>
      </c>
      <c r="N5" s="2" t="s">
        <v>1811</v>
      </c>
      <c r="O5" s="2" t="s">
        <v>3220</v>
      </c>
      <c r="P5" s="2" t="s">
        <v>1296</v>
      </c>
      <c r="Q5" s="2"/>
      <c r="R5" s="2" t="s">
        <v>3626</v>
      </c>
      <c r="S5" s="2" t="s">
        <v>2973</v>
      </c>
      <c r="T5" s="2" t="s">
        <v>2024</v>
      </c>
      <c r="U5" s="2" t="s">
        <v>2734</v>
      </c>
      <c r="V5" s="2" t="s">
        <v>1908</v>
      </c>
      <c r="W5" s="2" t="s">
        <v>1552</v>
      </c>
      <c r="X5" s="2" t="s">
        <v>3696</v>
      </c>
      <c r="Y5" s="2" t="s">
        <v>2657</v>
      </c>
      <c r="Z5" s="2" t="s">
        <v>1568</v>
      </c>
      <c r="AA5" s="2" t="s">
        <v>590</v>
      </c>
      <c r="AB5" s="2" t="s">
        <v>3204</v>
      </c>
      <c r="AC5" s="2" t="s">
        <v>2368</v>
      </c>
      <c r="AD5" s="2" t="s">
        <v>3672</v>
      </c>
      <c r="AE5" s="2" t="s">
        <v>3633</v>
      </c>
      <c r="AF5" s="2" t="s">
        <v>1901</v>
      </c>
      <c r="AG5" s="2" t="s">
        <v>3094</v>
      </c>
      <c r="AH5" s="2" t="s">
        <v>3478</v>
      </c>
      <c r="AI5" s="2" t="s">
        <v>1307</v>
      </c>
      <c r="AJ5" s="2" t="s">
        <v>2969</v>
      </c>
      <c r="AK5" s="2" t="s">
        <v>3068</v>
      </c>
      <c r="AL5" s="2" t="s">
        <v>1231</v>
      </c>
      <c r="AM5" s="2" t="s">
        <v>157</v>
      </c>
      <c r="AN5" s="2" t="s">
        <v>2785</v>
      </c>
      <c r="AO5" s="2" t="s">
        <v>2416</v>
      </c>
      <c r="AP5" s="2" t="s">
        <v>1628</v>
      </c>
      <c r="AQ5" s="2" t="s">
        <v>2984</v>
      </c>
      <c r="AR5" s="2" t="s">
        <v>2739</v>
      </c>
      <c r="AS5" s="2" t="s">
        <v>1981</v>
      </c>
      <c r="AT5" s="2" t="s">
        <v>2006</v>
      </c>
      <c r="AU5" s="2" t="s">
        <v>1677</v>
      </c>
      <c r="AV5" s="2" t="s">
        <v>2346</v>
      </c>
      <c r="AW5" s="2"/>
      <c r="AX5" s="2" t="s">
        <v>1935</v>
      </c>
      <c r="AY5" s="2" t="s">
        <v>1535</v>
      </c>
      <c r="AZ5" s="2" t="s">
        <v>1802</v>
      </c>
      <c r="BA5" s="2" t="s">
        <v>1820</v>
      </c>
      <c r="BB5" s="2" t="s">
        <v>2059</v>
      </c>
      <c r="BC5" s="2" t="s">
        <v>1435</v>
      </c>
      <c r="BD5" s="2"/>
      <c r="BE5" s="2" t="s">
        <v>1165</v>
      </c>
      <c r="BF5" s="2" t="s">
        <v>3615</v>
      </c>
      <c r="BG5" s="2" t="s">
        <v>2378</v>
      </c>
      <c r="BH5" s="2" t="s">
        <v>1276</v>
      </c>
      <c r="BI5" s="2" t="s">
        <v>1204</v>
      </c>
      <c r="BJ5" s="2" t="s">
        <v>3688</v>
      </c>
      <c r="BK5" s="2" t="s">
        <v>2479</v>
      </c>
      <c r="BL5" s="2" t="s">
        <v>3401</v>
      </c>
      <c r="BM5" s="2"/>
      <c r="BN5" s="2" t="s">
        <v>1483</v>
      </c>
      <c r="BO5" s="2" t="s">
        <v>416</v>
      </c>
      <c r="BP5" s="2" t="s">
        <v>2359</v>
      </c>
      <c r="BQ5" s="2" t="s">
        <v>3472</v>
      </c>
      <c r="BR5" s="2" t="s">
        <v>3676</v>
      </c>
      <c r="BS5" s="2" t="s">
        <v>1766</v>
      </c>
      <c r="BT5" s="2" t="s">
        <v>1442</v>
      </c>
      <c r="BU5" s="2" t="s">
        <v>3619</v>
      </c>
      <c r="BV5" s="2" t="s">
        <v>3706</v>
      </c>
      <c r="BW5" s="2"/>
      <c r="BX5" s="2" t="s">
        <v>886</v>
      </c>
      <c r="BY5" s="2" t="s">
        <v>1543</v>
      </c>
      <c r="BZ5" s="2" t="s">
        <v>3277</v>
      </c>
      <c r="CA5" s="2" t="s">
        <v>1340</v>
      </c>
      <c r="CB5" s="2" t="s">
        <v>3493</v>
      </c>
      <c r="CC5" s="2" t="s">
        <v>249</v>
      </c>
      <c r="CD5" s="2" t="s">
        <v>856</v>
      </c>
      <c r="CE5" s="2" t="s">
        <v>2186</v>
      </c>
      <c r="CF5" s="2" t="s">
        <v>2608</v>
      </c>
      <c r="CG5" s="2" t="s">
        <v>2454</v>
      </c>
      <c r="CH5" s="2" t="s">
        <v>1998</v>
      </c>
      <c r="CI5" s="2" t="s">
        <v>1744</v>
      </c>
      <c r="CJ5" s="2" t="s">
        <v>1857</v>
      </c>
      <c r="CK5" s="2" t="s">
        <v>3462</v>
      </c>
      <c r="CL5" s="2" t="s">
        <v>2285</v>
      </c>
      <c r="CM5" s="2" t="s">
        <v>3112</v>
      </c>
      <c r="CN5" s="2" t="s">
        <v>3532</v>
      </c>
      <c r="CO5" s="2" t="s">
        <v>2999</v>
      </c>
      <c r="CP5" s="2" t="s">
        <v>2424</v>
      </c>
      <c r="CQ5" s="2" t="s">
        <v>2072</v>
      </c>
      <c r="CR5" s="2" t="s">
        <v>3389</v>
      </c>
      <c r="CS5" s="2" t="s">
        <v>1916</v>
      </c>
      <c r="CT5" s="2" t="s">
        <v>1891</v>
      </c>
      <c r="CU5" s="2" t="s">
        <v>1726</v>
      </c>
      <c r="CV5" s="2" t="s">
        <v>3320</v>
      </c>
      <c r="CW5" s="2" t="s">
        <v>2546</v>
      </c>
      <c r="CX5" s="2" t="s">
        <v>2841</v>
      </c>
      <c r="CY5" s="2" t="s">
        <v>1896</v>
      </c>
      <c r="CZ5" s="2" t="s">
        <v>3029</v>
      </c>
      <c r="DA5" s="2" t="s">
        <v>1289</v>
      </c>
      <c r="DB5" s="2" t="s">
        <v>3654</v>
      </c>
      <c r="DC5" s="2" t="s">
        <v>1659</v>
      </c>
      <c r="DD5" s="2" t="s">
        <v>2555</v>
      </c>
      <c r="DE5" s="2" t="s">
        <v>3510</v>
      </c>
      <c r="DF5" s="2" t="s">
        <v>2275</v>
      </c>
      <c r="DG5" s="2" t="s">
        <v>2959</v>
      </c>
      <c r="DH5" s="2" t="s">
        <v>3009</v>
      </c>
      <c r="DI5" s="2" t="s">
        <v>2620</v>
      </c>
      <c r="DJ5" s="2" t="s">
        <v>3524</v>
      </c>
      <c r="DK5" s="2" t="s">
        <v>793</v>
      </c>
      <c r="DL5" s="2" t="s">
        <v>3426</v>
      </c>
      <c r="DM5" s="2" t="s">
        <v>1475</v>
      </c>
      <c r="DN5" s="2" t="s">
        <v>1423</v>
      </c>
      <c r="DO5" s="2" t="s">
        <v>663</v>
      </c>
      <c r="DP5" s="2" t="s">
        <v>2564</v>
      </c>
      <c r="DQ5" s="2" t="s">
        <v>3504</v>
      </c>
      <c r="DR5" s="2" t="s">
        <v>1648</v>
      </c>
      <c r="DS5" s="2" t="s">
        <v>3289</v>
      </c>
      <c r="DT5" s="2" t="s">
        <v>2207</v>
      </c>
      <c r="DU5" s="2" t="s">
        <v>2945</v>
      </c>
      <c r="DV5" s="2" t="s">
        <v>1072</v>
      </c>
      <c r="DW5" s="2" t="s">
        <v>2596</v>
      </c>
      <c r="DX5" s="2" t="s">
        <v>3294</v>
      </c>
      <c r="DY5" s="2" t="s">
        <v>3225</v>
      </c>
      <c r="DZ5" s="2" t="s">
        <v>2487</v>
      </c>
      <c r="EA5" s="2" t="s">
        <v>2692</v>
      </c>
      <c r="EB5" s="2" t="s">
        <v>2909</v>
      </c>
      <c r="EC5" s="2" t="s">
        <v>1707</v>
      </c>
      <c r="ED5" s="2" t="s">
        <v>713</v>
      </c>
      <c r="EE5" s="2" t="s">
        <v>2082</v>
      </c>
      <c r="EF5" s="2" t="s">
        <v>1356</v>
      </c>
      <c r="EG5" s="2" t="s">
        <v>3301</v>
      </c>
      <c r="EH5" s="2" t="s">
        <v>2729</v>
      </c>
      <c r="EI5" s="2" t="s">
        <v>2933</v>
      </c>
      <c r="EJ5" s="2" t="s">
        <v>3266</v>
      </c>
      <c r="EK5" s="2" t="s">
        <v>2299</v>
      </c>
      <c r="EL5" s="2"/>
      <c r="EM5" s="2" t="s">
        <v>1641</v>
      </c>
      <c r="EN5" s="2" t="s">
        <v>3332</v>
      </c>
      <c r="EO5" s="2" t="s">
        <v>2190</v>
      </c>
      <c r="EP5" s="2" t="s">
        <v>3172</v>
      </c>
      <c r="EQ5" s="2" t="s">
        <v>3643</v>
      </c>
      <c r="ER5" s="2" t="s">
        <v>3309</v>
      </c>
      <c r="ES5" s="2" t="s">
        <v>3209</v>
      </c>
      <c r="ET5" s="2" t="s">
        <v>1000</v>
      </c>
      <c r="EU5" s="2" t="s">
        <v>965</v>
      </c>
      <c r="EV5" s="2" t="s">
        <v>2015</v>
      </c>
      <c r="EW5" s="2" t="s">
        <v>3186</v>
      </c>
      <c r="EX5" s="2" t="s">
        <v>983</v>
      </c>
      <c r="EY5" s="2" t="s">
        <v>1413</v>
      </c>
      <c r="EZ5" s="2" t="s">
        <v>1363</v>
      </c>
      <c r="FA5" s="2" t="s">
        <v>2835</v>
      </c>
      <c r="FB5" s="2" t="s">
        <v>1731</v>
      </c>
      <c r="FC5" s="2" t="s">
        <v>1465</v>
      </c>
      <c r="FD5" s="2" t="s">
        <v>3367</v>
      </c>
      <c r="FE5" s="2" t="s">
        <v>3589</v>
      </c>
      <c r="FF5" s="2" t="s">
        <v>2134</v>
      </c>
      <c r="FG5" s="2" t="s">
        <v>2751</v>
      </c>
      <c r="FH5" s="2" t="s">
        <v>2508</v>
      </c>
      <c r="FI5" s="2" t="s">
        <v>2761</v>
      </c>
      <c r="FJ5" s="2" t="s">
        <v>2697</v>
      </c>
      <c r="FK5" s="2" t="s">
        <v>2778</v>
      </c>
      <c r="FL5" s="2" t="s">
        <v>3243</v>
      </c>
      <c r="FM5" s="2" t="s">
        <v>3450</v>
      </c>
      <c r="FN5" s="2" t="s">
        <v>3500</v>
      </c>
      <c r="FO5" s="2" t="s">
        <v>2398</v>
      </c>
      <c r="FP5" s="2" t="s">
        <v>3136</v>
      </c>
      <c r="FQ5" s="2" t="s">
        <v>2585</v>
      </c>
      <c r="FR5" s="2" t="s">
        <v>3439</v>
      </c>
      <c r="FS5" s="2" t="s">
        <v>2650</v>
      </c>
      <c r="FT5" s="2" t="s">
        <v>2704</v>
      </c>
      <c r="FU5" s="2" t="s">
        <v>2662</v>
      </c>
      <c r="FV5" s="2" t="s">
        <v>1912</v>
      </c>
      <c r="FW5" s="2" t="s">
        <v>1327</v>
      </c>
      <c r="FX5" s="2" t="s">
        <v>745</v>
      </c>
      <c r="FY5" s="2" t="s">
        <v>2824</v>
      </c>
      <c r="FZ5" s="2" t="s">
        <v>2708</v>
      </c>
      <c r="GA5" s="2" t="s">
        <v>1958</v>
      </c>
      <c r="GB5" s="2" t="s">
        <v>2180</v>
      </c>
      <c r="GC5" s="2" t="s">
        <v>1720</v>
      </c>
      <c r="GD5" s="2" t="s">
        <v>2938</v>
      </c>
      <c r="GE5" s="2" t="s">
        <v>2261</v>
      </c>
      <c r="GF5" s="2" t="s">
        <v>2105</v>
      </c>
      <c r="GG5" s="2" t="s">
        <v>2168</v>
      </c>
      <c r="GH5" s="2" t="s">
        <v>3570</v>
      </c>
      <c r="GI5" s="2" t="s">
        <v>3576</v>
      </c>
      <c r="GJ5" s="2" t="s">
        <v>3584</v>
      </c>
      <c r="GK5" s="2" t="s">
        <v>2848</v>
      </c>
      <c r="GL5" s="2" t="s">
        <v>3601</v>
      </c>
      <c r="GM5" s="2" t="s">
        <v>2127</v>
      </c>
      <c r="GN5" s="2" t="s">
        <v>1851</v>
      </c>
      <c r="GO5" s="2" t="s">
        <v>1841</v>
      </c>
      <c r="GP5" s="2" t="s">
        <v>1690</v>
      </c>
      <c r="GQ5" s="2" t="s">
        <v>2641</v>
      </c>
      <c r="GR5" s="2" t="s">
        <v>2718</v>
      </c>
      <c r="GS5" s="2" t="s">
        <v>1755</v>
      </c>
      <c r="GT5" s="2" t="s">
        <v>3415</v>
      </c>
      <c r="GU5" s="2" t="s">
        <v>1773</v>
      </c>
      <c r="GV5" s="2" t="s">
        <v>2517</v>
      </c>
      <c r="GW5" s="2" t="s">
        <v>2613</v>
      </c>
      <c r="GX5" s="2" t="s">
        <v>2669</v>
      </c>
      <c r="GY5" s="2" t="s">
        <v>1875</v>
      </c>
      <c r="GZ5" s="2" t="s">
        <v>2226</v>
      </c>
      <c r="HA5" s="2" t="s">
        <v>2334</v>
      </c>
      <c r="HB5" s="2" t="s">
        <v>1970</v>
      </c>
      <c r="HC5" s="2" t="s">
        <v>2157</v>
      </c>
      <c r="HD5" s="2"/>
      <c r="HE5" s="2" t="s">
        <v>2322</v>
      </c>
      <c r="HF5" s="2" t="s">
        <v>2145</v>
      </c>
      <c r="HG5" s="2" t="s">
        <v>2311</v>
      </c>
      <c r="HH5" s="2" t="s">
        <v>1446</v>
      </c>
      <c r="HI5" s="2" t="s">
        <v>2802</v>
      </c>
      <c r="HJ5" s="2" t="s">
        <v>3595</v>
      </c>
      <c r="HK5" s="2" t="s">
        <v>3195</v>
      </c>
      <c r="HL5" s="2"/>
      <c r="HM5" s="2" t="s">
        <v>3556</v>
      </c>
      <c r="HN5" s="2" t="s">
        <v>3050</v>
      </c>
      <c r="HO5" s="2" t="s">
        <v>1470</v>
      </c>
      <c r="HP5" s="2" t="s">
        <v>1459</v>
      </c>
      <c r="HQ5" s="2" t="s">
        <v>3488</v>
      </c>
      <c r="HR5" s="2" t="s">
        <v>2808</v>
      </c>
      <c r="HS5" s="2" t="s">
        <v>2568</v>
      </c>
      <c r="HT5" s="2" t="s">
        <v>1698</v>
      </c>
      <c r="HU5" s="2" t="s">
        <v>1402</v>
      </c>
      <c r="HV5" s="2" t="s">
        <v>2993</v>
      </c>
      <c r="HW5" s="2"/>
      <c r="HX5" s="2" t="s">
        <v>331</v>
      </c>
      <c r="HY5" s="2" t="s">
        <v>2495</v>
      </c>
      <c r="HZ5" s="2" t="s">
        <v>1922</v>
      </c>
      <c r="IA5" s="2" t="s">
        <v>457</v>
      </c>
      <c r="IB5" s="2" t="s">
        <v>3253</v>
      </c>
      <c r="IC5" s="2" t="s">
        <v>1778</v>
      </c>
      <c r="ID5" s="2" t="s">
        <v>1597</v>
      </c>
      <c r="IE5" s="2" t="s">
        <v>2951</v>
      </c>
      <c r="IF5" s="2" t="s">
        <v>2218</v>
      </c>
      <c r="IG5" s="2" t="s">
        <v>2684</v>
      </c>
      <c r="IH5" s="2" t="s">
        <v>2927</v>
      </c>
      <c r="II5" s="2" t="s">
        <v>1798</v>
      </c>
      <c r="IJ5" s="2" t="s">
        <v>1827</v>
      </c>
      <c r="IK5" s="2" t="s">
        <v>1666</v>
      </c>
      <c r="IL5" s="2" t="s">
        <v>2678</v>
      </c>
      <c r="IM5" s="2" t="s">
        <v>2461</v>
      </c>
      <c r="IN5" s="2" t="s">
        <v>2449</v>
      </c>
      <c r="IO5" s="2" t="s">
        <v>2233</v>
      </c>
      <c r="IP5" s="2" t="s">
        <v>1941</v>
      </c>
      <c r="IQ5" s="2"/>
      <c r="IR5" s="2" t="s">
        <v>2019</v>
      </c>
      <c r="IS5" s="2" t="s">
        <v>1382</v>
      </c>
      <c r="IT5" s="2" t="s">
        <v>1420</v>
      </c>
      <c r="IU5" s="2" t="s">
        <v>1834</v>
      </c>
      <c r="IV5" s="2" t="s">
        <v>823</v>
      </c>
      <c r="IW5" s="2" t="s">
        <v>2522</v>
      </c>
      <c r="IX5" s="2" t="s">
        <v>1793</v>
      </c>
      <c r="IY5" s="2" t="s">
        <v>2437</v>
      </c>
      <c r="IZ5" s="2"/>
      <c r="JA5" s="2" t="s">
        <v>3563</v>
      </c>
      <c r="JB5" s="2" t="s">
        <v>3373</v>
      </c>
      <c r="JC5" s="2" t="s">
        <v>2328</v>
      </c>
      <c r="JD5" s="2" t="s">
        <v>2797</v>
      </c>
      <c r="JE5" s="2" t="s">
        <v>3085</v>
      </c>
      <c r="JF5" s="2" t="s">
        <v>2820</v>
      </c>
      <c r="JG5" s="2" t="s">
        <v>3033</v>
      </c>
      <c r="JH5" s="2" t="s">
        <v>2041</v>
      </c>
      <c r="JI5" s="2" t="s">
        <v>1248</v>
      </c>
      <c r="JJ5" s="2" t="s">
        <v>1448</v>
      </c>
      <c r="JK5" s="2" t="s">
        <v>1395</v>
      </c>
      <c r="JL5" s="2" t="s">
        <v>3014</v>
      </c>
      <c r="JM5" s="2" t="s">
        <v>1033</v>
      </c>
      <c r="JN5" s="2" t="s">
        <v>1684</v>
      </c>
      <c r="JO5" s="2"/>
      <c r="JP5" s="2" t="s">
        <v>1452</v>
      </c>
      <c r="JQ5" s="2" t="s">
        <v>1260</v>
      </c>
      <c r="JR5" s="2" t="s">
        <v>2966</v>
      </c>
      <c r="JS5" s="2" t="s">
        <v>3098</v>
      </c>
      <c r="JT5" s="2" t="s">
        <v>533</v>
      </c>
      <c r="JU5" s="2" t="s">
        <v>3350</v>
      </c>
      <c r="JV5" s="2" t="s">
        <v>478</v>
      </c>
      <c r="JW5" s="2" t="s">
        <v>2534</v>
      </c>
      <c r="JX5" s="2" t="s">
        <v>2242</v>
      </c>
      <c r="JY5" s="2" t="s">
        <v>2574</v>
      </c>
      <c r="JZ5" s="2" t="s">
        <v>1268</v>
      </c>
      <c r="KA5" s="2"/>
      <c r="KB5" s="2" t="s">
        <v>3517</v>
      </c>
      <c r="KC5" s="2" t="s">
        <v>2871</v>
      </c>
      <c r="KD5" s="2" t="s">
        <v>1784</v>
      </c>
      <c r="KE5" s="2"/>
      <c r="KF5" s="2" t="s">
        <v>2793</v>
      </c>
      <c r="KG5" s="2" t="s">
        <v>1406</v>
      </c>
      <c r="KH5" s="2" t="s">
        <v>3118</v>
      </c>
      <c r="KI5" s="2" t="s">
        <v>3385</v>
      </c>
      <c r="KJ5" s="2" t="s">
        <v>1854</v>
      </c>
      <c r="KK5" s="2" t="s">
        <v>3606</v>
      </c>
      <c r="KL5" s="2" t="s">
        <v>1313</v>
      </c>
      <c r="KM5" s="2" t="s">
        <v>1375</v>
      </c>
      <c r="KN5" s="2" t="s">
        <v>1714</v>
      </c>
      <c r="KO5" s="2" t="s">
        <v>1425</v>
      </c>
      <c r="KP5" s="2" t="s">
        <v>2499</v>
      </c>
      <c r="KQ5" s="2" t="s">
        <v>928</v>
      </c>
      <c r="KR5" s="2" t="s">
        <v>1388</v>
      </c>
      <c r="KS5" s="2" t="s">
        <v>1883</v>
      </c>
      <c r="KT5" s="2" t="s">
        <v>2789</v>
      </c>
      <c r="KU5" s="2" t="s">
        <v>2714</v>
      </c>
      <c r="KV5" s="2" t="s">
        <v>917</v>
      </c>
      <c r="KW5" s="2" t="s">
        <v>3663</v>
      </c>
      <c r="KX5" s="2" t="s">
        <v>3713</v>
      </c>
      <c r="KY5" s="2" t="s">
        <v>3037</v>
      </c>
      <c r="KZ5" s="2"/>
      <c r="LA5" s="2" t="s">
        <v>3360</v>
      </c>
      <c r="LB5" s="2" t="s">
        <v>3539</v>
      </c>
      <c r="LC5" s="2"/>
      <c r="LD5" s="2" t="s">
        <v>3021</v>
      </c>
      <c r="LE5" s="2" t="s">
        <v>2115</v>
      </c>
      <c r="LF5" s="2" t="s">
        <v>1349</v>
      </c>
      <c r="LG5" s="2" t="s">
        <v>2632</v>
      </c>
      <c r="LH5" s="2" t="s">
        <v>1847</v>
      </c>
      <c r="LI5" s="2" t="s">
        <v>2388</v>
      </c>
      <c r="LJ5" s="2" t="s">
        <v>1518</v>
      </c>
      <c r="LK5" s="2" t="s">
        <v>2294</v>
      </c>
      <c r="LL5" s="2" t="s">
        <v>1527</v>
      </c>
      <c r="LM5" s="2"/>
      <c r="LN5" s="2" t="s">
        <v>2469</v>
      </c>
      <c r="LO5" s="2" t="s">
        <v>3580</v>
      </c>
      <c r="LP5" s="2" t="s">
        <v>1868</v>
      </c>
      <c r="LQ5" s="2" t="s">
        <v>2410</v>
      </c>
      <c r="LR5" s="2" t="s">
        <v>1591</v>
      </c>
      <c r="LS5" s="2" t="s">
        <v>3144</v>
      </c>
      <c r="LT5" s="2" t="s">
        <v>3160</v>
      </c>
      <c r="LU5" s="2" t="s">
        <v>3128</v>
      </c>
      <c r="LV5" s="2" t="s">
        <v>1502</v>
      </c>
      <c r="LW5" s="2" t="s">
        <v>1991</v>
      </c>
    </row>
    <row r="6" spans="1:335">
      <c r="A6" s="2"/>
      <c r="B6" s="2" t="s">
        <v>2853</v>
      </c>
      <c r="C6" s="2" t="s">
        <v>1947</v>
      </c>
      <c r="D6" s="2" t="s">
        <v>2340</v>
      </c>
      <c r="E6" s="2" t="s">
        <v>1611</v>
      </c>
      <c r="F6" s="2" t="s">
        <v>2094</v>
      </c>
      <c r="G6" s="2" t="s">
        <v>2141</v>
      </c>
      <c r="H6" s="2"/>
      <c r="I6" s="2" t="s">
        <v>3549</v>
      </c>
      <c r="J6" s="2" t="s">
        <v>1117</v>
      </c>
      <c r="K6" s="2" t="s">
        <v>2196</v>
      </c>
      <c r="L6" s="2" t="s">
        <v>3236</v>
      </c>
      <c r="M6" s="2" t="s">
        <v>1370</v>
      </c>
      <c r="N6" s="2" t="s">
        <v>1812</v>
      </c>
      <c r="O6" s="2" t="s">
        <v>3221</v>
      </c>
      <c r="P6" s="2" t="s">
        <v>1297</v>
      </c>
      <c r="Q6" s="2"/>
      <c r="R6" s="2" t="s">
        <v>3627</v>
      </c>
      <c r="S6" s="2" t="s">
        <v>2974</v>
      </c>
      <c r="T6" s="2" t="s">
        <v>2025</v>
      </c>
      <c r="U6" s="2" t="s">
        <v>2735</v>
      </c>
      <c r="V6" s="2"/>
      <c r="W6" s="2" t="s">
        <v>1553</v>
      </c>
      <c r="X6" s="2" t="s">
        <v>3697</v>
      </c>
      <c r="Y6" s="2" t="s">
        <v>2658</v>
      </c>
      <c r="Z6" s="2" t="s">
        <v>914</v>
      </c>
      <c r="AA6" s="2" t="s">
        <v>593</v>
      </c>
      <c r="AB6" s="2" t="s">
        <v>3205</v>
      </c>
      <c r="AC6" s="2" t="s">
        <v>2369</v>
      </c>
      <c r="AD6" s="2"/>
      <c r="AE6" s="2"/>
      <c r="AF6" s="2" t="s">
        <v>1902</v>
      </c>
      <c r="AG6" s="2"/>
      <c r="AH6" s="2" t="s">
        <v>3479</v>
      </c>
      <c r="AI6" s="2" t="s">
        <v>1308</v>
      </c>
      <c r="AJ6" s="2" t="s">
        <v>2970</v>
      </c>
      <c r="AK6" s="2" t="s">
        <v>3069</v>
      </c>
      <c r="AL6" s="2" t="s">
        <v>1234</v>
      </c>
      <c r="AM6" s="2" t="s">
        <v>163</v>
      </c>
      <c r="AN6" s="2"/>
      <c r="AO6" s="2" t="s">
        <v>2417</v>
      </c>
      <c r="AP6" s="2" t="s">
        <v>1629</v>
      </c>
      <c r="AQ6" s="2" t="s">
        <v>2985</v>
      </c>
      <c r="AR6" s="2" t="s">
        <v>2740</v>
      </c>
      <c r="AS6" s="2" t="s">
        <v>1982</v>
      </c>
      <c r="AT6" s="2" t="s">
        <v>2007</v>
      </c>
      <c r="AU6" s="2" t="s">
        <v>1678</v>
      </c>
      <c r="AV6" s="2" t="s">
        <v>2347</v>
      </c>
      <c r="AW6" s="2"/>
      <c r="AX6" s="2" t="s">
        <v>1936</v>
      </c>
      <c r="AY6" s="2" t="s">
        <v>1536</v>
      </c>
      <c r="AZ6" s="2" t="s">
        <v>1803</v>
      </c>
      <c r="BA6" s="2" t="s">
        <v>1821</v>
      </c>
      <c r="BB6" s="2" t="s">
        <v>2060</v>
      </c>
      <c r="BC6" s="2" t="s">
        <v>1436</v>
      </c>
      <c r="BD6" s="2"/>
      <c r="BE6" s="2" t="s">
        <v>1168</v>
      </c>
      <c r="BF6" s="2"/>
      <c r="BG6" s="2" t="s">
        <v>2379</v>
      </c>
      <c r="BH6" s="2" t="s">
        <v>1277</v>
      </c>
      <c r="BI6" s="2" t="s">
        <v>1207</v>
      </c>
      <c r="BJ6" s="2" t="s">
        <v>3689</v>
      </c>
      <c r="BK6" s="2" t="s">
        <v>2480</v>
      </c>
      <c r="BL6" s="2" t="s">
        <v>3402</v>
      </c>
      <c r="BM6" s="2"/>
      <c r="BN6" s="2" t="s">
        <v>1484</v>
      </c>
      <c r="BO6" s="2" t="s">
        <v>419</v>
      </c>
      <c r="BP6" s="2" t="s">
        <v>2360</v>
      </c>
      <c r="BQ6" s="2" t="s">
        <v>3473</v>
      </c>
      <c r="BR6" s="2" t="s">
        <v>3677</v>
      </c>
      <c r="BS6" s="2" t="s">
        <v>1767</v>
      </c>
      <c r="BT6" s="2" t="s">
        <v>1443</v>
      </c>
      <c r="BU6" s="2" t="s">
        <v>3620</v>
      </c>
      <c r="BV6" s="2" t="s">
        <v>3707</v>
      </c>
      <c r="BW6" s="2"/>
      <c r="BX6" s="2" t="s">
        <v>889</v>
      </c>
      <c r="BY6" s="2" t="s">
        <v>1544</v>
      </c>
      <c r="BZ6" s="2" t="s">
        <v>3278</v>
      </c>
      <c r="CA6" s="2" t="s">
        <v>1341</v>
      </c>
      <c r="CB6" s="2" t="s">
        <v>3494</v>
      </c>
      <c r="CC6" s="2" t="s">
        <v>253</v>
      </c>
      <c r="CD6" s="2" t="s">
        <v>859</v>
      </c>
      <c r="CE6" s="2"/>
      <c r="CF6" s="2" t="s">
        <v>2609</v>
      </c>
      <c r="CG6" s="2" t="s">
        <v>2455</v>
      </c>
      <c r="CH6" s="2" t="s">
        <v>1999</v>
      </c>
      <c r="CI6" s="2" t="s">
        <v>1745</v>
      </c>
      <c r="CJ6" s="2" t="s">
        <v>1858</v>
      </c>
      <c r="CK6" s="2" t="s">
        <v>3463</v>
      </c>
      <c r="CL6" s="2" t="s">
        <v>2286</v>
      </c>
      <c r="CM6" s="2" t="s">
        <v>3113</v>
      </c>
      <c r="CN6" s="2" t="s">
        <v>3533</v>
      </c>
      <c r="CO6" s="2" t="s">
        <v>3000</v>
      </c>
      <c r="CP6" s="2" t="s">
        <v>2425</v>
      </c>
      <c r="CQ6" s="2" t="s">
        <v>2073</v>
      </c>
      <c r="CR6" s="2" t="s">
        <v>3390</v>
      </c>
      <c r="CS6" s="2" t="s">
        <v>1917</v>
      </c>
      <c r="CT6" s="2" t="s">
        <v>1892</v>
      </c>
      <c r="CU6" s="2" t="s">
        <v>1727</v>
      </c>
      <c r="CV6" s="2" t="s">
        <v>3321</v>
      </c>
      <c r="CW6" s="2" t="s">
        <v>2547</v>
      </c>
      <c r="CX6" s="2" t="s">
        <v>2842</v>
      </c>
      <c r="CY6" s="2" t="s">
        <v>1897</v>
      </c>
      <c r="CZ6" s="2"/>
      <c r="DA6" s="2" t="s">
        <v>1290</v>
      </c>
      <c r="DB6" s="2" t="s">
        <v>3655</v>
      </c>
      <c r="DC6" s="2" t="s">
        <v>1660</v>
      </c>
      <c r="DD6" s="2" t="s">
        <v>2556</v>
      </c>
      <c r="DE6" s="2" t="s">
        <v>3511</v>
      </c>
      <c r="DF6" s="2" t="s">
        <v>2276</v>
      </c>
      <c r="DG6" s="2" t="s">
        <v>2960</v>
      </c>
      <c r="DH6" s="2" t="s">
        <v>3010</v>
      </c>
      <c r="DI6" s="2" t="s">
        <v>2621</v>
      </c>
      <c r="DJ6" s="2" t="s">
        <v>3525</v>
      </c>
      <c r="DK6" s="2" t="s">
        <v>796</v>
      </c>
      <c r="DL6" s="2" t="s">
        <v>3427</v>
      </c>
      <c r="DM6" s="2" t="s">
        <v>1476</v>
      </c>
      <c r="DN6" s="2" t="s">
        <v>914</v>
      </c>
      <c r="DO6" s="2" t="s">
        <v>666</v>
      </c>
      <c r="DP6" s="2"/>
      <c r="DQ6" s="2" t="s">
        <v>3505</v>
      </c>
      <c r="DR6" s="2" t="s">
        <v>1649</v>
      </c>
      <c r="DS6" s="2" t="s">
        <v>3290</v>
      </c>
      <c r="DT6" s="2" t="s">
        <v>2208</v>
      </c>
      <c r="DU6" s="2" t="s">
        <v>2946</v>
      </c>
      <c r="DV6" s="2" t="s">
        <v>1075</v>
      </c>
      <c r="DW6" s="2" t="s">
        <v>2597</v>
      </c>
      <c r="DX6" s="2"/>
      <c r="DY6" s="2" t="s">
        <v>3226</v>
      </c>
      <c r="DZ6" s="2" t="s">
        <v>2488</v>
      </c>
      <c r="EA6" s="2" t="s">
        <v>2693</v>
      </c>
      <c r="EB6" s="2" t="s">
        <v>2910</v>
      </c>
      <c r="EC6" s="2" t="s">
        <v>1708</v>
      </c>
      <c r="ED6" s="2" t="s">
        <v>716</v>
      </c>
      <c r="EE6" s="2" t="s">
        <v>2083</v>
      </c>
      <c r="EF6" s="2" t="s">
        <v>1357</v>
      </c>
      <c r="EG6" s="2" t="s">
        <v>3302</v>
      </c>
      <c r="EH6" s="2" t="s">
        <v>2730</v>
      </c>
      <c r="EI6" s="2" t="s">
        <v>2934</v>
      </c>
      <c r="EJ6" s="2" t="s">
        <v>3267</v>
      </c>
      <c r="EK6" s="2" t="s">
        <v>2300</v>
      </c>
      <c r="EL6" s="2"/>
      <c r="EM6" s="2" t="s">
        <v>1642</v>
      </c>
      <c r="EN6" s="2" t="s">
        <v>3333</v>
      </c>
      <c r="EO6" s="2"/>
      <c r="EP6" s="2" t="s">
        <v>3173</v>
      </c>
      <c r="EQ6" s="2" t="s">
        <v>3644</v>
      </c>
      <c r="ER6" s="2" t="s">
        <v>3310</v>
      </c>
      <c r="ES6" s="2" t="s">
        <v>3210</v>
      </c>
      <c r="ET6" s="2" t="s">
        <v>1003</v>
      </c>
      <c r="EU6" s="2" t="s">
        <v>968</v>
      </c>
      <c r="EV6" s="2"/>
      <c r="EW6" s="2" t="s">
        <v>3187</v>
      </c>
      <c r="EX6" s="2" t="s">
        <v>986</v>
      </c>
      <c r="EY6" s="2" t="s">
        <v>1414</v>
      </c>
      <c r="EZ6" s="2" t="s">
        <v>1364</v>
      </c>
      <c r="FA6" s="2" t="s">
        <v>2836</v>
      </c>
      <c r="FB6" s="2" t="s">
        <v>1732</v>
      </c>
      <c r="FC6" s="2" t="s">
        <v>1466</v>
      </c>
      <c r="FD6" s="2" t="s">
        <v>3368</v>
      </c>
      <c r="FE6" s="2" t="s">
        <v>3590</v>
      </c>
      <c r="FF6" s="2" t="s">
        <v>2135</v>
      </c>
      <c r="FG6" s="2" t="s">
        <v>2752</v>
      </c>
      <c r="FH6" s="2" t="s">
        <v>2509</v>
      </c>
      <c r="FI6" s="2" t="s">
        <v>2762</v>
      </c>
      <c r="FJ6" s="2" t="s">
        <v>2698</v>
      </c>
      <c r="FK6" s="2" t="s">
        <v>2779</v>
      </c>
      <c r="FL6" s="2" t="s">
        <v>3244</v>
      </c>
      <c r="FM6" s="2" t="s">
        <v>3451</v>
      </c>
      <c r="FN6" s="2"/>
      <c r="FO6" s="2" t="s">
        <v>2399</v>
      </c>
      <c r="FP6" s="2" t="s">
        <v>3137</v>
      </c>
      <c r="FQ6" s="2" t="s">
        <v>2586</v>
      </c>
      <c r="FR6" s="2" t="s">
        <v>3440</v>
      </c>
      <c r="FS6" s="2" t="s">
        <v>2651</v>
      </c>
      <c r="FT6" s="2"/>
      <c r="FU6" s="2" t="s">
        <v>2663</v>
      </c>
      <c r="FV6" s="2"/>
      <c r="FW6" s="2" t="s">
        <v>1328</v>
      </c>
      <c r="FX6" s="2" t="s">
        <v>748</v>
      </c>
      <c r="FY6" s="2" t="s">
        <v>2825</v>
      </c>
      <c r="FZ6" s="2" t="s">
        <v>2709</v>
      </c>
      <c r="GA6" s="2" t="s">
        <v>1959</v>
      </c>
      <c r="GB6" s="2" t="s">
        <v>2181</v>
      </c>
      <c r="GC6" s="2" t="s">
        <v>1721</v>
      </c>
      <c r="GD6" s="2" t="s">
        <v>2939</v>
      </c>
      <c r="GE6" s="2" t="s">
        <v>2262</v>
      </c>
      <c r="GF6" s="2" t="s">
        <v>2106</v>
      </c>
      <c r="GG6" s="2" t="s">
        <v>2169</v>
      </c>
      <c r="GH6" s="2" t="s">
        <v>3571</v>
      </c>
      <c r="GI6" s="2"/>
      <c r="GJ6" s="2" t="s">
        <v>3585</v>
      </c>
      <c r="GK6" s="2"/>
      <c r="GL6" s="2" t="s">
        <v>3602</v>
      </c>
      <c r="GM6" s="2" t="s">
        <v>2128</v>
      </c>
      <c r="GN6" s="2"/>
      <c r="GO6" s="2" t="s">
        <v>1842</v>
      </c>
      <c r="GP6" s="2" t="s">
        <v>1691</v>
      </c>
      <c r="GQ6" s="2" t="s">
        <v>2642</v>
      </c>
      <c r="GR6" s="2" t="s">
        <v>2719</v>
      </c>
      <c r="GS6" s="2" t="s">
        <v>1756</v>
      </c>
      <c r="GT6" s="2" t="s">
        <v>3416</v>
      </c>
      <c r="GU6" s="2" t="s">
        <v>1774</v>
      </c>
      <c r="GV6" s="2" t="s">
        <v>2518</v>
      </c>
      <c r="GW6" s="2" t="s">
        <v>2614</v>
      </c>
      <c r="GX6" s="2" t="s">
        <v>2670</v>
      </c>
      <c r="GY6" s="2" t="s">
        <v>1876</v>
      </c>
      <c r="GZ6" s="2" t="s">
        <v>2227</v>
      </c>
      <c r="HA6" s="2" t="s">
        <v>2335</v>
      </c>
      <c r="HB6" s="2" t="s">
        <v>1971</v>
      </c>
      <c r="HC6" s="2" t="s">
        <v>2158</v>
      </c>
      <c r="HD6" s="2"/>
      <c r="HE6" s="2" t="s">
        <v>2323</v>
      </c>
      <c r="HF6" s="2" t="s">
        <v>2146</v>
      </c>
      <c r="HG6" s="2" t="s">
        <v>2312</v>
      </c>
      <c r="HH6" s="2" t="s">
        <v>1582</v>
      </c>
      <c r="HI6" s="2" t="s">
        <v>2803</v>
      </c>
      <c r="HJ6" s="2" t="s">
        <v>3596</v>
      </c>
      <c r="HK6" s="2" t="s">
        <v>3196</v>
      </c>
      <c r="HL6" s="2"/>
      <c r="HM6" s="2" t="s">
        <v>3557</v>
      </c>
      <c r="HN6" s="2" t="s">
        <v>3051</v>
      </c>
      <c r="HO6" s="2" t="s">
        <v>1471</v>
      </c>
      <c r="HP6" s="2" t="s">
        <v>1460</v>
      </c>
      <c r="HQ6" s="2" t="s">
        <v>3489</v>
      </c>
      <c r="HR6" s="2" t="s">
        <v>2809</v>
      </c>
      <c r="HS6" s="2" t="s">
        <v>2569</v>
      </c>
      <c r="HT6" s="2" t="s">
        <v>1699</v>
      </c>
      <c r="HU6" s="2"/>
      <c r="HV6" s="2" t="s">
        <v>2994</v>
      </c>
      <c r="HW6" s="2"/>
      <c r="HX6" s="2" t="s">
        <v>335</v>
      </c>
      <c r="HY6" s="2"/>
      <c r="HZ6" s="2" t="s">
        <v>1923</v>
      </c>
      <c r="IA6" s="2" t="s">
        <v>460</v>
      </c>
      <c r="IB6" s="2" t="s">
        <v>3254</v>
      </c>
      <c r="IC6" s="2" t="s">
        <v>1779</v>
      </c>
      <c r="ID6" s="2" t="s">
        <v>1598</v>
      </c>
      <c r="IE6" s="2" t="s">
        <v>2952</v>
      </c>
      <c r="IF6" s="2" t="s">
        <v>2219</v>
      </c>
      <c r="IG6" s="2" t="s">
        <v>2685</v>
      </c>
      <c r="IH6" s="2" t="s">
        <v>2928</v>
      </c>
      <c r="II6" s="2"/>
      <c r="IJ6" s="2" t="s">
        <v>1828</v>
      </c>
      <c r="IK6" s="2" t="s">
        <v>1667</v>
      </c>
      <c r="IL6" s="2" t="s">
        <v>2679</v>
      </c>
      <c r="IM6" s="2" t="s">
        <v>2462</v>
      </c>
      <c r="IN6" s="2" t="s">
        <v>2450</v>
      </c>
      <c r="IO6" s="2" t="s">
        <v>2234</v>
      </c>
      <c r="IP6" s="2" t="s">
        <v>1942</v>
      </c>
      <c r="IQ6" s="2"/>
      <c r="IR6" s="2" t="s">
        <v>2020</v>
      </c>
      <c r="IS6" s="2" t="s">
        <v>1383</v>
      </c>
      <c r="IT6" s="2" t="s">
        <v>1421</v>
      </c>
      <c r="IU6" s="2" t="s">
        <v>1835</v>
      </c>
      <c r="IV6" s="2" t="s">
        <v>826</v>
      </c>
      <c r="IW6" s="2" t="s">
        <v>2523</v>
      </c>
      <c r="IX6" s="2" t="s">
        <v>1794</v>
      </c>
      <c r="IY6" s="2" t="s">
        <v>2438</v>
      </c>
      <c r="IZ6" s="2"/>
      <c r="JA6" s="2" t="s">
        <v>3564</v>
      </c>
      <c r="JB6" s="2" t="s">
        <v>3374</v>
      </c>
      <c r="JC6" s="2" t="s">
        <v>2329</v>
      </c>
      <c r="JD6" s="2" t="s">
        <v>2798</v>
      </c>
      <c r="JE6" s="2" t="s">
        <v>2623</v>
      </c>
      <c r="JF6" s="2"/>
      <c r="JG6" s="2"/>
      <c r="JH6" s="2" t="s">
        <v>2042</v>
      </c>
      <c r="JI6" s="2" t="s">
        <v>1249</v>
      </c>
      <c r="JJ6" s="2"/>
      <c r="JK6" s="2" t="s">
        <v>1396</v>
      </c>
      <c r="JL6" s="2" t="s">
        <v>3015</v>
      </c>
      <c r="JM6" s="2" t="s">
        <v>1036</v>
      </c>
      <c r="JN6" s="2" t="s">
        <v>1685</v>
      </c>
      <c r="JO6" s="2"/>
      <c r="JP6" s="2" t="s">
        <v>1453</v>
      </c>
      <c r="JQ6" s="2" t="s">
        <v>1261</v>
      </c>
      <c r="JR6" s="2" t="s">
        <v>23</v>
      </c>
      <c r="JS6" s="2" t="s">
        <v>3099</v>
      </c>
      <c r="JT6" s="2" t="s">
        <v>536</v>
      </c>
      <c r="JU6" s="2" t="s">
        <v>3351</v>
      </c>
      <c r="JV6" s="2" t="s">
        <v>481</v>
      </c>
      <c r="JW6" s="2" t="s">
        <v>2535</v>
      </c>
      <c r="JX6" s="2" t="s">
        <v>2243</v>
      </c>
      <c r="JY6" s="2" t="s">
        <v>2575</v>
      </c>
      <c r="JZ6" s="2" t="s">
        <v>1269</v>
      </c>
      <c r="KA6" s="2"/>
      <c r="KB6" s="2" t="s">
        <v>3518</v>
      </c>
      <c r="KC6" s="2" t="s">
        <v>1743</v>
      </c>
      <c r="KD6" s="2" t="s">
        <v>1785</v>
      </c>
      <c r="KE6" s="2"/>
      <c r="KF6" s="2"/>
      <c r="KG6" s="2" t="s">
        <v>1407</v>
      </c>
      <c r="KH6" s="2" t="s">
        <v>3119</v>
      </c>
      <c r="KI6" s="2"/>
      <c r="KJ6" s="2"/>
      <c r="KK6" s="2" t="s">
        <v>3607</v>
      </c>
      <c r="KL6" s="2" t="s">
        <v>1314</v>
      </c>
      <c r="KM6" s="2" t="s">
        <v>1376</v>
      </c>
      <c r="KN6" s="2" t="s">
        <v>1715</v>
      </c>
      <c r="KO6" s="2" t="s">
        <v>1426</v>
      </c>
      <c r="KP6" s="2" t="s">
        <v>2500</v>
      </c>
      <c r="KQ6" s="2" t="s">
        <v>931</v>
      </c>
      <c r="KR6" s="2" t="s">
        <v>1389</v>
      </c>
      <c r="KS6" s="2" t="s">
        <v>1884</v>
      </c>
      <c r="KT6" s="2"/>
      <c r="KU6" s="2"/>
      <c r="KV6" s="2" t="s">
        <v>919</v>
      </c>
      <c r="KW6" s="2" t="s">
        <v>3664</v>
      </c>
      <c r="KX6" s="2" t="s">
        <v>3714</v>
      </c>
      <c r="KY6" s="2" t="s">
        <v>3038</v>
      </c>
      <c r="KZ6" s="2"/>
      <c r="LA6" s="2" t="s">
        <v>3361</v>
      </c>
      <c r="LB6" s="2" t="s">
        <v>3540</v>
      </c>
      <c r="LC6" s="2"/>
      <c r="LD6" s="2" t="s">
        <v>3022</v>
      </c>
      <c r="LE6" s="2" t="s">
        <v>2116</v>
      </c>
      <c r="LF6" s="2" t="s">
        <v>1350</v>
      </c>
      <c r="LG6" s="2" t="s">
        <v>2633</v>
      </c>
      <c r="LH6" s="2"/>
      <c r="LI6" s="2" t="s">
        <v>2389</v>
      </c>
      <c r="LJ6" s="2" t="s">
        <v>1519</v>
      </c>
      <c r="LK6" s="2" t="s">
        <v>2295</v>
      </c>
      <c r="LL6" s="2" t="s">
        <v>1528</v>
      </c>
      <c r="LM6" s="2"/>
      <c r="LN6" s="2" t="s">
        <v>2470</v>
      </c>
      <c r="LO6" s="2"/>
      <c r="LP6" s="2" t="s">
        <v>1869</v>
      </c>
      <c r="LQ6" s="2" t="s">
        <v>2411</v>
      </c>
      <c r="LR6" s="2" t="s">
        <v>1592</v>
      </c>
      <c r="LS6" s="2" t="s">
        <v>3145</v>
      </c>
      <c r="LT6" s="2" t="s">
        <v>3161</v>
      </c>
      <c r="LU6" s="2" t="s">
        <v>3129</v>
      </c>
      <c r="LV6" s="2" t="s">
        <v>1503</v>
      </c>
      <c r="LW6" s="2" t="s">
        <v>1992</v>
      </c>
    </row>
    <row r="7" spans="1:335">
      <c r="A7" s="2"/>
      <c r="B7" s="2" t="s">
        <v>2854</v>
      </c>
      <c r="C7" s="2" t="s">
        <v>1948</v>
      </c>
      <c r="D7" s="2" t="s">
        <v>2341</v>
      </c>
      <c r="E7" s="2" t="s">
        <v>1612</v>
      </c>
      <c r="F7" s="2" t="s">
        <v>2095</v>
      </c>
      <c r="G7" s="2"/>
      <c r="H7" s="2"/>
      <c r="I7" s="2" t="s">
        <v>3550</v>
      </c>
      <c r="J7" s="2" t="s">
        <v>1120</v>
      </c>
      <c r="K7" s="2" t="s">
        <v>2197</v>
      </c>
      <c r="L7" s="2" t="s">
        <v>3237</v>
      </c>
      <c r="M7" s="2" t="s">
        <v>1371</v>
      </c>
      <c r="N7" s="2" t="s">
        <v>1813</v>
      </c>
      <c r="O7" s="2"/>
      <c r="P7" s="2" t="s">
        <v>1298</v>
      </c>
      <c r="Q7" s="2"/>
      <c r="R7" s="2" t="s">
        <v>3628</v>
      </c>
      <c r="S7" s="2" t="s">
        <v>2975</v>
      </c>
      <c r="T7" s="2" t="s">
        <v>2026</v>
      </c>
      <c r="U7" s="2"/>
      <c r="V7" s="2"/>
      <c r="W7" s="2" t="s">
        <v>1554</v>
      </c>
      <c r="X7" s="2" t="s">
        <v>3698</v>
      </c>
      <c r="Y7" s="2"/>
      <c r="Z7" s="2" t="s">
        <v>1569</v>
      </c>
      <c r="AA7" s="2" t="s">
        <v>596</v>
      </c>
      <c r="AB7" s="2"/>
      <c r="AC7" s="2" t="s">
        <v>2370</v>
      </c>
      <c r="AD7" s="2"/>
      <c r="AE7" s="2"/>
      <c r="AF7" s="2" t="s">
        <v>1903</v>
      </c>
      <c r="AG7" s="2"/>
      <c r="AH7" s="2" t="s">
        <v>3480</v>
      </c>
      <c r="AI7" s="2" t="s">
        <v>1309</v>
      </c>
      <c r="AJ7" s="2"/>
      <c r="AK7" s="2" t="s">
        <v>3070</v>
      </c>
      <c r="AL7" s="2" t="s">
        <v>1237</v>
      </c>
      <c r="AM7" s="2" t="s">
        <v>168</v>
      </c>
      <c r="AN7" s="2"/>
      <c r="AO7" s="2" t="s">
        <v>2418</v>
      </c>
      <c r="AP7" s="2" t="s">
        <v>1630</v>
      </c>
      <c r="AQ7" s="2" t="s">
        <v>2986</v>
      </c>
      <c r="AR7" s="2" t="s">
        <v>2741</v>
      </c>
      <c r="AS7" s="2" t="s">
        <v>1983</v>
      </c>
      <c r="AT7" s="2" t="s">
        <v>2008</v>
      </c>
      <c r="AU7" s="2" t="s">
        <v>1679</v>
      </c>
      <c r="AV7" s="2" t="s">
        <v>2348</v>
      </c>
      <c r="AW7" s="2"/>
      <c r="AX7" s="2" t="s">
        <v>1937</v>
      </c>
      <c r="AY7" s="2" t="s">
        <v>1537</v>
      </c>
      <c r="AZ7" s="2" t="s">
        <v>1804</v>
      </c>
      <c r="BA7" s="2" t="s">
        <v>1822</v>
      </c>
      <c r="BB7" s="2" t="s">
        <v>2061</v>
      </c>
      <c r="BC7" s="2" t="s">
        <v>1437</v>
      </c>
      <c r="BD7" s="2"/>
      <c r="BE7" s="2" t="s">
        <v>1171</v>
      </c>
      <c r="BF7" s="2"/>
      <c r="BG7" s="2" t="s">
        <v>2380</v>
      </c>
      <c r="BH7" s="2" t="s">
        <v>1278</v>
      </c>
      <c r="BI7" s="2" t="s">
        <v>1210</v>
      </c>
      <c r="BJ7" s="2" t="s">
        <v>3690</v>
      </c>
      <c r="BK7" s="2" t="s">
        <v>2481</v>
      </c>
      <c r="BL7" s="2" t="s">
        <v>3403</v>
      </c>
      <c r="BM7" s="2"/>
      <c r="BN7" s="2" t="s">
        <v>1485</v>
      </c>
      <c r="BO7" s="2" t="s">
        <v>422</v>
      </c>
      <c r="BP7" s="2" t="s">
        <v>2361</v>
      </c>
      <c r="BQ7" s="2" t="s">
        <v>3474</v>
      </c>
      <c r="BR7" s="2" t="s">
        <v>3678</v>
      </c>
      <c r="BS7" s="2" t="s">
        <v>1768</v>
      </c>
      <c r="BT7" s="2" t="s">
        <v>1444</v>
      </c>
      <c r="BU7" s="2"/>
      <c r="BV7" s="2" t="s">
        <v>3708</v>
      </c>
      <c r="BW7" s="2"/>
      <c r="BX7" s="2" t="s">
        <v>892</v>
      </c>
      <c r="BY7" s="2" t="s">
        <v>1545</v>
      </c>
      <c r="BZ7" s="2" t="s">
        <v>3279</v>
      </c>
      <c r="CA7" s="2" t="s">
        <v>1342</v>
      </c>
      <c r="CB7" s="2" t="s">
        <v>3495</v>
      </c>
      <c r="CC7" s="2" t="s">
        <v>258</v>
      </c>
      <c r="CD7" s="2" t="s">
        <v>862</v>
      </c>
      <c r="CE7" s="2"/>
      <c r="CF7" s="2"/>
      <c r="CG7" s="2" t="s">
        <v>2456</v>
      </c>
      <c r="CH7" s="2" t="s">
        <v>2000</v>
      </c>
      <c r="CI7" s="2" t="s">
        <v>1746</v>
      </c>
      <c r="CJ7" s="2" t="s">
        <v>1859</v>
      </c>
      <c r="CK7" s="2" t="s">
        <v>3464</v>
      </c>
      <c r="CL7" s="2" t="s">
        <v>2287</v>
      </c>
      <c r="CM7" s="2" t="s">
        <v>3114</v>
      </c>
      <c r="CN7" s="2" t="s">
        <v>3534</v>
      </c>
      <c r="CO7" s="2" t="s">
        <v>3001</v>
      </c>
      <c r="CP7" s="2" t="s">
        <v>2426</v>
      </c>
      <c r="CQ7" s="2" t="s">
        <v>2074</v>
      </c>
      <c r="CR7" s="2" t="s">
        <v>3391</v>
      </c>
      <c r="CS7" s="2" t="s">
        <v>1918</v>
      </c>
      <c r="CT7" s="2"/>
      <c r="CU7" s="2"/>
      <c r="CV7" s="2" t="s">
        <v>3322</v>
      </c>
      <c r="CW7" s="2" t="s">
        <v>2548</v>
      </c>
      <c r="CX7" s="2" t="s">
        <v>2843</v>
      </c>
      <c r="CY7" s="2"/>
      <c r="CZ7" s="2"/>
      <c r="DA7" s="2" t="s">
        <v>1291</v>
      </c>
      <c r="DB7" s="2" t="s">
        <v>3656</v>
      </c>
      <c r="DC7" s="2" t="s">
        <v>1661</v>
      </c>
      <c r="DD7" s="2" t="s">
        <v>2557</v>
      </c>
      <c r="DE7" s="2" t="s">
        <v>3512</v>
      </c>
      <c r="DF7" s="2" t="s">
        <v>2277</v>
      </c>
      <c r="DG7" s="2" t="s">
        <v>2961</v>
      </c>
      <c r="DH7" s="2"/>
      <c r="DI7" s="2" t="s">
        <v>2622</v>
      </c>
      <c r="DJ7" s="2" t="s">
        <v>3526</v>
      </c>
      <c r="DK7" s="2" t="s">
        <v>799</v>
      </c>
      <c r="DL7" s="2" t="s">
        <v>3428</v>
      </c>
      <c r="DM7" s="2" t="s">
        <v>1477</v>
      </c>
      <c r="DN7" s="2" t="s">
        <v>2253</v>
      </c>
      <c r="DO7" s="2" t="s">
        <v>669</v>
      </c>
      <c r="DP7" s="2"/>
      <c r="DQ7" s="2" t="s">
        <v>3506</v>
      </c>
      <c r="DR7" s="2" t="s">
        <v>1650</v>
      </c>
      <c r="DS7" s="2"/>
      <c r="DT7" s="2" t="s">
        <v>2209</v>
      </c>
      <c r="DU7" s="2" t="s">
        <v>2947</v>
      </c>
      <c r="DV7" s="2" t="s">
        <v>1078</v>
      </c>
      <c r="DW7" s="2" t="s">
        <v>2598</v>
      </c>
      <c r="DX7" s="2"/>
      <c r="DY7" s="2" t="s">
        <v>3227</v>
      </c>
      <c r="DZ7" s="2" t="s">
        <v>2489</v>
      </c>
      <c r="EA7" s="2"/>
      <c r="EB7" s="2" t="s">
        <v>2911</v>
      </c>
      <c r="EC7" s="2" t="s">
        <v>1709</v>
      </c>
      <c r="ED7" s="2" t="s">
        <v>719</v>
      </c>
      <c r="EE7" s="2" t="s">
        <v>2084</v>
      </c>
      <c r="EF7" s="2" t="s">
        <v>1358</v>
      </c>
      <c r="EG7" s="2" t="s">
        <v>3303</v>
      </c>
      <c r="EH7" s="2"/>
      <c r="EI7" s="2"/>
      <c r="EJ7" s="2" t="s">
        <v>3268</v>
      </c>
      <c r="EK7" s="2" t="s">
        <v>2301</v>
      </c>
      <c r="EL7" s="2"/>
      <c r="EM7" s="2" t="s">
        <v>1643</v>
      </c>
      <c r="EN7" s="2" t="s">
        <v>3334</v>
      </c>
      <c r="EO7" s="2"/>
      <c r="EP7" s="2" t="s">
        <v>3174</v>
      </c>
      <c r="EQ7" s="2" t="s">
        <v>3645</v>
      </c>
      <c r="ER7" s="2" t="s">
        <v>3311</v>
      </c>
      <c r="ES7" s="2" t="s">
        <v>3211</v>
      </c>
      <c r="ET7" s="2" t="s">
        <v>1006</v>
      </c>
      <c r="EU7" s="2" t="s">
        <v>971</v>
      </c>
      <c r="EV7" s="2"/>
      <c r="EW7" s="2" t="s">
        <v>3188</v>
      </c>
      <c r="EX7" s="2" t="s">
        <v>989</v>
      </c>
      <c r="EY7" s="2" t="s">
        <v>1415</v>
      </c>
      <c r="EZ7" s="2" t="s">
        <v>1365</v>
      </c>
      <c r="FA7" s="2" t="s">
        <v>2837</v>
      </c>
      <c r="FB7" s="2" t="s">
        <v>1733</v>
      </c>
      <c r="FC7" s="2"/>
      <c r="FD7" s="2" t="s">
        <v>3369</v>
      </c>
      <c r="FE7" s="2" t="s">
        <v>3591</v>
      </c>
      <c r="FF7" s="2" t="s">
        <v>2136</v>
      </c>
      <c r="FG7" s="2" t="s">
        <v>2753</v>
      </c>
      <c r="FH7" s="2" t="s">
        <v>2510</v>
      </c>
      <c r="FI7" s="2" t="s">
        <v>2763</v>
      </c>
      <c r="FJ7" s="2" t="s">
        <v>2699</v>
      </c>
      <c r="FK7" s="2" t="s">
        <v>2780</v>
      </c>
      <c r="FL7" s="2" t="s">
        <v>3245</v>
      </c>
      <c r="FM7" s="2" t="s">
        <v>3452</v>
      </c>
      <c r="FN7" s="2"/>
      <c r="FO7" s="2" t="s">
        <v>1228</v>
      </c>
      <c r="FP7" s="2" t="s">
        <v>3138</v>
      </c>
      <c r="FQ7" s="2" t="s">
        <v>2587</v>
      </c>
      <c r="FR7" s="2" t="s">
        <v>3441</v>
      </c>
      <c r="FS7" s="2" t="s">
        <v>2652</v>
      </c>
      <c r="FT7" s="2"/>
      <c r="FU7" s="2" t="s">
        <v>2664</v>
      </c>
      <c r="FV7" s="2"/>
      <c r="FW7" s="2" t="s">
        <v>1329</v>
      </c>
      <c r="FX7" s="2" t="s">
        <v>751</v>
      </c>
      <c r="FY7" s="2" t="s">
        <v>2826</v>
      </c>
      <c r="FZ7" s="2" t="s">
        <v>2710</v>
      </c>
      <c r="GA7" s="2" t="s">
        <v>1960</v>
      </c>
      <c r="GB7" s="2" t="s">
        <v>2182</v>
      </c>
      <c r="GC7" s="2" t="s">
        <v>1722</v>
      </c>
      <c r="GD7" s="2" t="s">
        <v>2940</v>
      </c>
      <c r="GE7" s="2" t="s">
        <v>2263</v>
      </c>
      <c r="GF7" s="2" t="s">
        <v>2107</v>
      </c>
      <c r="GG7" s="2" t="s">
        <v>2170</v>
      </c>
      <c r="GH7" s="2" t="s">
        <v>3572</v>
      </c>
      <c r="GI7" s="2"/>
      <c r="GJ7" s="2"/>
      <c r="GK7" s="2"/>
      <c r="GL7" s="2"/>
      <c r="GM7" s="2" t="s">
        <v>2129</v>
      </c>
      <c r="GN7" s="2"/>
      <c r="GO7" s="2" t="s">
        <v>1843</v>
      </c>
      <c r="GP7" s="2" t="s">
        <v>1692</v>
      </c>
      <c r="GQ7" s="2" t="s">
        <v>2643</v>
      </c>
      <c r="GR7" s="2" t="s">
        <v>2720</v>
      </c>
      <c r="GS7" s="2" t="s">
        <v>1757</v>
      </c>
      <c r="GT7" s="2" t="s">
        <v>3417</v>
      </c>
      <c r="GU7" s="2"/>
      <c r="GV7" s="2"/>
      <c r="GW7" s="2" t="s">
        <v>2615</v>
      </c>
      <c r="GX7" s="2" t="s">
        <v>2671</v>
      </c>
      <c r="GY7" s="2" t="s">
        <v>1877</v>
      </c>
      <c r="GZ7" s="2" t="s">
        <v>2228</v>
      </c>
      <c r="HA7" s="2"/>
      <c r="HB7" s="2" t="s">
        <v>1972</v>
      </c>
      <c r="HC7" s="2" t="s">
        <v>2159</v>
      </c>
      <c r="HD7" s="2"/>
      <c r="HE7" s="2" t="s">
        <v>2324</v>
      </c>
      <c r="HF7" s="2" t="s">
        <v>2147</v>
      </c>
      <c r="HG7" s="2" t="s">
        <v>2313</v>
      </c>
      <c r="HH7" s="2" t="s">
        <v>1583</v>
      </c>
      <c r="HI7" s="2" t="s">
        <v>2804</v>
      </c>
      <c r="HJ7" s="2" t="s">
        <v>3597</v>
      </c>
      <c r="HK7" s="2" t="s">
        <v>3197</v>
      </c>
      <c r="HL7" s="2"/>
      <c r="HM7" s="2" t="s">
        <v>3558</v>
      </c>
      <c r="HN7" s="2" t="s">
        <v>3052</v>
      </c>
      <c r="HO7" s="2"/>
      <c r="HP7" s="2" t="s">
        <v>1461</v>
      </c>
      <c r="HQ7" s="2"/>
      <c r="HR7" s="2" t="s">
        <v>2810</v>
      </c>
      <c r="HS7" s="2" t="s">
        <v>2570</v>
      </c>
      <c r="HT7" s="2" t="s">
        <v>1700</v>
      </c>
      <c r="HU7" s="2"/>
      <c r="HV7" s="2" t="s">
        <v>2995</v>
      </c>
      <c r="HW7" s="2"/>
      <c r="HX7" s="2" t="s">
        <v>339</v>
      </c>
      <c r="HY7" s="2"/>
      <c r="HZ7" s="2" t="s">
        <v>1924</v>
      </c>
      <c r="IA7" s="2" t="s">
        <v>463</v>
      </c>
      <c r="IB7" s="2" t="s">
        <v>3255</v>
      </c>
      <c r="IC7" s="2" t="s">
        <v>1780</v>
      </c>
      <c r="ID7" s="2" t="s">
        <v>1599</v>
      </c>
      <c r="IE7" s="2" t="s">
        <v>2953</v>
      </c>
      <c r="IF7" s="2" t="s">
        <v>2220</v>
      </c>
      <c r="IG7" s="2" t="s">
        <v>2686</v>
      </c>
      <c r="IH7" s="2" t="s">
        <v>2929</v>
      </c>
      <c r="II7" s="2"/>
      <c r="IJ7" s="2" t="s">
        <v>1829</v>
      </c>
      <c r="IK7" s="2" t="s">
        <v>1668</v>
      </c>
      <c r="IL7" s="2" t="s">
        <v>2680</v>
      </c>
      <c r="IM7" s="2" t="s">
        <v>2463</v>
      </c>
      <c r="IN7" s="2"/>
      <c r="IO7" s="2" t="s">
        <v>2235</v>
      </c>
      <c r="IP7" s="2"/>
      <c r="IQ7" s="2"/>
      <c r="IR7" s="2"/>
      <c r="IS7" s="2" t="s">
        <v>1384</v>
      </c>
      <c r="IT7" s="2" t="s">
        <v>1422</v>
      </c>
      <c r="IU7" s="2" t="s">
        <v>1836</v>
      </c>
      <c r="IV7" s="2" t="s">
        <v>829</v>
      </c>
      <c r="IW7" s="2" t="s">
        <v>2524</v>
      </c>
      <c r="IX7" s="2" t="s">
        <v>1795</v>
      </c>
      <c r="IY7" s="2" t="s">
        <v>2439</v>
      </c>
      <c r="IZ7" s="2"/>
      <c r="JA7" s="2" t="s">
        <v>3565</v>
      </c>
      <c r="JB7" s="2" t="s">
        <v>3375</v>
      </c>
      <c r="JC7" s="2" t="s">
        <v>2330</v>
      </c>
      <c r="JD7" s="2"/>
      <c r="JE7" s="2" t="s">
        <v>3086</v>
      </c>
      <c r="JF7" s="2"/>
      <c r="JG7" s="2"/>
      <c r="JH7" s="2" t="s">
        <v>2043</v>
      </c>
      <c r="JI7" s="2" t="s">
        <v>1250</v>
      </c>
      <c r="JJ7" s="2"/>
      <c r="JK7" s="2" t="s">
        <v>1397</v>
      </c>
      <c r="JL7" s="2" t="s">
        <v>3016</v>
      </c>
      <c r="JM7" s="2" t="s">
        <v>1039</v>
      </c>
      <c r="JN7" s="2" t="s">
        <v>1686</v>
      </c>
      <c r="JO7" s="2"/>
      <c r="JP7" s="2" t="s">
        <v>1454</v>
      </c>
      <c r="JQ7" s="2" t="s">
        <v>1262</v>
      </c>
      <c r="JR7" s="2"/>
      <c r="JS7" s="2" t="s">
        <v>3100</v>
      </c>
      <c r="JT7" s="2" t="s">
        <v>539</v>
      </c>
      <c r="JU7" s="2" t="s">
        <v>3352</v>
      </c>
      <c r="JV7" s="2" t="s">
        <v>484</v>
      </c>
      <c r="JW7" s="2" t="s">
        <v>2536</v>
      </c>
      <c r="JX7" s="2" t="s">
        <v>2244</v>
      </c>
      <c r="JY7" s="2" t="s">
        <v>2576</v>
      </c>
      <c r="JZ7" s="2" t="s">
        <v>1270</v>
      </c>
      <c r="KA7" s="2"/>
      <c r="KB7" s="2" t="s">
        <v>3519</v>
      </c>
      <c r="KC7" s="2" t="s">
        <v>2872</v>
      </c>
      <c r="KD7" s="2" t="s">
        <v>1786</v>
      </c>
      <c r="KE7" s="2"/>
      <c r="KF7" s="2"/>
      <c r="KG7" s="2" t="s">
        <v>1408</v>
      </c>
      <c r="KH7" s="2" t="s">
        <v>3120</v>
      </c>
      <c r="KI7" s="2"/>
      <c r="KJ7" s="2"/>
      <c r="KK7" s="2" t="s">
        <v>3608</v>
      </c>
      <c r="KL7" s="2" t="s">
        <v>1315</v>
      </c>
      <c r="KM7" s="2" t="s">
        <v>1377</v>
      </c>
      <c r="KN7" s="2" t="s">
        <v>1716</v>
      </c>
      <c r="KO7" s="2" t="s">
        <v>1427</v>
      </c>
      <c r="KP7" s="2" t="s">
        <v>2501</v>
      </c>
      <c r="KQ7" s="2" t="s">
        <v>934</v>
      </c>
      <c r="KR7" s="2" t="s">
        <v>1390</v>
      </c>
      <c r="KS7" s="2" t="s">
        <v>1885</v>
      </c>
      <c r="KT7" s="2"/>
      <c r="KU7" s="2"/>
      <c r="KV7" s="2"/>
      <c r="KW7" s="2" t="s">
        <v>3665</v>
      </c>
      <c r="KX7" s="2" t="s">
        <v>3715</v>
      </c>
      <c r="KY7" s="2" t="s">
        <v>3039</v>
      </c>
      <c r="KZ7" s="2"/>
      <c r="LA7" s="2" t="s">
        <v>3362</v>
      </c>
      <c r="LB7" s="2" t="s">
        <v>3541</v>
      </c>
      <c r="LC7" s="2"/>
      <c r="LD7" s="2" t="s">
        <v>3023</v>
      </c>
      <c r="LE7" s="2" t="s">
        <v>2117</v>
      </c>
      <c r="LF7" s="2" t="s">
        <v>1351</v>
      </c>
      <c r="LG7" s="2" t="s">
        <v>2634</v>
      </c>
      <c r="LH7" s="2"/>
      <c r="LI7" s="2" t="s">
        <v>2390</v>
      </c>
      <c r="LJ7" s="2" t="s">
        <v>1520</v>
      </c>
      <c r="LK7" s="2"/>
      <c r="LL7" s="2" t="s">
        <v>1529</v>
      </c>
      <c r="LM7" s="2"/>
      <c r="LN7" s="2" t="s">
        <v>2471</v>
      </c>
      <c r="LO7" s="2"/>
      <c r="LP7" s="2" t="s">
        <v>1870</v>
      </c>
      <c r="LQ7" s="2" t="s">
        <v>2412</v>
      </c>
      <c r="LR7" s="2" t="s">
        <v>1593</v>
      </c>
      <c r="LS7" s="2" t="s">
        <v>3146</v>
      </c>
      <c r="LT7" s="2" t="s">
        <v>3162</v>
      </c>
      <c r="LU7" s="2" t="s">
        <v>3130</v>
      </c>
      <c r="LV7" s="2" t="s">
        <v>1504</v>
      </c>
      <c r="LW7" s="2" t="s">
        <v>1993</v>
      </c>
    </row>
    <row r="8" spans="1:335">
      <c r="A8" s="2"/>
      <c r="B8" s="2" t="s">
        <v>2855</v>
      </c>
      <c r="C8" s="2" t="s">
        <v>1949</v>
      </c>
      <c r="D8" s="2" t="s">
        <v>2342</v>
      </c>
      <c r="E8" s="2" t="s">
        <v>1613</v>
      </c>
      <c r="F8" s="2" t="s">
        <v>2096</v>
      </c>
      <c r="G8" s="2"/>
      <c r="H8" s="2"/>
      <c r="I8" s="2" t="s">
        <v>3551</v>
      </c>
      <c r="J8" s="2" t="s">
        <v>1123</v>
      </c>
      <c r="K8" s="2" t="s">
        <v>2198</v>
      </c>
      <c r="L8" s="2" t="s">
        <v>3238</v>
      </c>
      <c r="M8" s="2"/>
      <c r="N8" s="2" t="s">
        <v>1814</v>
      </c>
      <c r="O8" s="2"/>
      <c r="P8" s="2" t="s">
        <v>1299</v>
      </c>
      <c r="Q8" s="2"/>
      <c r="R8" s="2" t="s">
        <v>1528</v>
      </c>
      <c r="S8" s="2" t="s">
        <v>2976</v>
      </c>
      <c r="T8" s="2" t="s">
        <v>2027</v>
      </c>
      <c r="U8" s="2"/>
      <c r="V8" s="2"/>
      <c r="W8" s="2" t="s">
        <v>1555</v>
      </c>
      <c r="X8" s="2" t="s">
        <v>3699</v>
      </c>
      <c r="Y8" s="2"/>
      <c r="Z8" s="2" t="s">
        <v>1570</v>
      </c>
      <c r="AA8" s="2" t="s">
        <v>599</v>
      </c>
      <c r="AB8" s="2"/>
      <c r="AC8" s="2" t="s">
        <v>2371</v>
      </c>
      <c r="AD8" s="2"/>
      <c r="AE8" s="2"/>
      <c r="AF8" s="2" t="s">
        <v>1904</v>
      </c>
      <c r="AG8" s="2"/>
      <c r="AH8" s="2" t="s">
        <v>3481</v>
      </c>
      <c r="AI8" s="2"/>
      <c r="AJ8" s="2"/>
      <c r="AK8" s="2" t="s">
        <v>3071</v>
      </c>
      <c r="AL8" s="2" t="s">
        <v>1239</v>
      </c>
      <c r="AM8" s="2" t="s">
        <v>173</v>
      </c>
      <c r="AN8" s="2"/>
      <c r="AO8" s="2" t="s">
        <v>2419</v>
      </c>
      <c r="AP8" s="2" t="s">
        <v>1631</v>
      </c>
      <c r="AQ8" s="2" t="s">
        <v>2987</v>
      </c>
      <c r="AR8" s="2" t="s">
        <v>2742</v>
      </c>
      <c r="AS8" s="2" t="s">
        <v>1984</v>
      </c>
      <c r="AT8" s="2" t="s">
        <v>2009</v>
      </c>
      <c r="AU8" s="2" t="s">
        <v>1680</v>
      </c>
      <c r="AV8" s="2" t="s">
        <v>2349</v>
      </c>
      <c r="AW8" s="2"/>
      <c r="AX8" s="2"/>
      <c r="AY8" s="2" t="s">
        <v>1538</v>
      </c>
      <c r="AZ8" s="2" t="s">
        <v>1805</v>
      </c>
      <c r="BA8" s="2" t="s">
        <v>1823</v>
      </c>
      <c r="BB8" s="2" t="s">
        <v>2062</v>
      </c>
      <c r="BC8" s="2" t="s">
        <v>1438</v>
      </c>
      <c r="BD8" s="2"/>
      <c r="BE8" s="2" t="s">
        <v>1174</v>
      </c>
      <c r="BF8" s="2"/>
      <c r="BG8" s="2" t="s">
        <v>2381</v>
      </c>
      <c r="BH8" s="2" t="s">
        <v>1279</v>
      </c>
      <c r="BI8" s="2" t="s">
        <v>1213</v>
      </c>
      <c r="BJ8" s="2" t="s">
        <v>3691</v>
      </c>
      <c r="BK8" s="2"/>
      <c r="BL8" s="2" t="s">
        <v>3404</v>
      </c>
      <c r="BM8" s="2"/>
      <c r="BN8" s="2" t="s">
        <v>1486</v>
      </c>
      <c r="BO8" s="2" t="s">
        <v>425</v>
      </c>
      <c r="BP8" s="2" t="s">
        <v>2362</v>
      </c>
      <c r="BQ8" s="2" t="s">
        <v>3475</v>
      </c>
      <c r="BR8" s="2" t="s">
        <v>3679</v>
      </c>
      <c r="BS8" s="2" t="s">
        <v>1769</v>
      </c>
      <c r="BT8" s="2"/>
      <c r="BU8" s="2"/>
      <c r="BV8" s="2" t="s">
        <v>3709</v>
      </c>
      <c r="BW8" s="2"/>
      <c r="BX8" s="2" t="s">
        <v>895</v>
      </c>
      <c r="BY8" s="2" t="s">
        <v>1546</v>
      </c>
      <c r="BZ8" s="2" t="s">
        <v>3280</v>
      </c>
      <c r="CA8" s="2" t="s">
        <v>1343</v>
      </c>
      <c r="CB8" s="2" t="s">
        <v>3496</v>
      </c>
      <c r="CC8" s="2" t="s">
        <v>263</v>
      </c>
      <c r="CD8" s="2" t="s">
        <v>865</v>
      </c>
      <c r="CE8" s="2"/>
      <c r="CF8" s="2"/>
      <c r="CG8" s="2" t="s">
        <v>2457</v>
      </c>
      <c r="CH8" s="2" t="s">
        <v>2001</v>
      </c>
      <c r="CI8" s="2" t="s">
        <v>1747</v>
      </c>
      <c r="CJ8" s="2" t="s">
        <v>1860</v>
      </c>
      <c r="CK8" s="2" t="s">
        <v>3465</v>
      </c>
      <c r="CL8" s="2" t="s">
        <v>2288</v>
      </c>
      <c r="CM8" s="2"/>
      <c r="CN8" s="2" t="s">
        <v>3535</v>
      </c>
      <c r="CO8" s="2" t="s">
        <v>3002</v>
      </c>
      <c r="CP8" s="2" t="s">
        <v>2427</v>
      </c>
      <c r="CQ8" s="2" t="s">
        <v>2075</v>
      </c>
      <c r="CR8" s="2" t="s">
        <v>3392</v>
      </c>
      <c r="CS8" s="2" t="s">
        <v>1919</v>
      </c>
      <c r="CT8" s="2"/>
      <c r="CU8" s="2"/>
      <c r="CV8" s="2" t="s">
        <v>3323</v>
      </c>
      <c r="CW8" s="2" t="s">
        <v>2549</v>
      </c>
      <c r="CX8" s="2" t="s">
        <v>2844</v>
      </c>
      <c r="CY8" s="2"/>
      <c r="CZ8" s="2"/>
      <c r="DA8" s="2" t="s">
        <v>1292</v>
      </c>
      <c r="DB8" s="2" t="s">
        <v>3657</v>
      </c>
      <c r="DC8" s="2" t="s">
        <v>1662</v>
      </c>
      <c r="DD8" s="2" t="s">
        <v>2558</v>
      </c>
      <c r="DE8" s="2" t="s">
        <v>3513</v>
      </c>
      <c r="DF8" s="2" t="s">
        <v>2278</v>
      </c>
      <c r="DG8" s="2" t="s">
        <v>2962</v>
      </c>
      <c r="DH8" s="2"/>
      <c r="DI8" s="2" t="s">
        <v>2623</v>
      </c>
      <c r="DJ8" s="2" t="s">
        <v>3527</v>
      </c>
      <c r="DK8" s="2" t="s">
        <v>802</v>
      </c>
      <c r="DL8" s="2" t="s">
        <v>3429</v>
      </c>
      <c r="DM8" s="2" t="s">
        <v>1478</v>
      </c>
      <c r="DN8" s="2" t="s">
        <v>2254</v>
      </c>
      <c r="DO8" s="2" t="s">
        <v>672</v>
      </c>
      <c r="DP8" s="2"/>
      <c r="DQ8" s="2"/>
      <c r="DR8" s="2" t="s">
        <v>1651</v>
      </c>
      <c r="DS8" s="2"/>
      <c r="DT8" s="2" t="s">
        <v>2210</v>
      </c>
      <c r="DU8" s="2"/>
      <c r="DV8" s="2" t="s">
        <v>1081</v>
      </c>
      <c r="DW8" s="2" t="s">
        <v>2599</v>
      </c>
      <c r="DX8" s="2"/>
      <c r="DY8" s="2" t="s">
        <v>3228</v>
      </c>
      <c r="DZ8" s="2" t="s">
        <v>2490</v>
      </c>
      <c r="EA8" s="2"/>
      <c r="EB8" s="2" t="s">
        <v>2912</v>
      </c>
      <c r="EC8" s="2" t="s">
        <v>1710</v>
      </c>
      <c r="ED8" s="2" t="s">
        <v>722</v>
      </c>
      <c r="EE8" s="2" t="s">
        <v>2085</v>
      </c>
      <c r="EF8" s="2" t="s">
        <v>1359</v>
      </c>
      <c r="EG8" s="2" t="s">
        <v>3304</v>
      </c>
      <c r="EH8" s="2"/>
      <c r="EI8" s="2"/>
      <c r="EJ8" s="2" t="s">
        <v>3269</v>
      </c>
      <c r="EK8" s="2" t="s">
        <v>2302</v>
      </c>
      <c r="EL8" s="2"/>
      <c r="EM8" s="2" t="s">
        <v>1644</v>
      </c>
      <c r="EN8" s="2" t="s">
        <v>3335</v>
      </c>
      <c r="EO8" s="2"/>
      <c r="EP8" s="2" t="s">
        <v>3175</v>
      </c>
      <c r="EQ8" s="2" t="s">
        <v>3646</v>
      </c>
      <c r="ER8" s="2" t="s">
        <v>3312</v>
      </c>
      <c r="ES8" s="2" t="s">
        <v>3212</v>
      </c>
      <c r="ET8" s="2" t="s">
        <v>1009</v>
      </c>
      <c r="EU8" s="2"/>
      <c r="EV8" s="2"/>
      <c r="EW8" s="2" t="s">
        <v>3189</v>
      </c>
      <c r="EX8" s="2"/>
      <c r="EY8" s="2" t="s">
        <v>1416</v>
      </c>
      <c r="EZ8" s="2"/>
      <c r="FA8" s="2"/>
      <c r="FB8" s="2" t="s">
        <v>1734</v>
      </c>
      <c r="FC8" s="2"/>
      <c r="FD8" s="2" t="s">
        <v>3370</v>
      </c>
      <c r="FE8" s="2"/>
      <c r="FF8" s="2"/>
      <c r="FG8" s="2" t="s">
        <v>2754</v>
      </c>
      <c r="FH8" s="2" t="s">
        <v>2511</v>
      </c>
      <c r="FI8" s="2" t="s">
        <v>2764</v>
      </c>
      <c r="FJ8" s="2" t="s">
        <v>2700</v>
      </c>
      <c r="FK8" s="2" t="s">
        <v>2781</v>
      </c>
      <c r="FL8" s="2" t="s">
        <v>3246</v>
      </c>
      <c r="FM8" s="2" t="s">
        <v>3453</v>
      </c>
      <c r="FN8" s="2"/>
      <c r="FO8" s="2" t="s">
        <v>2400</v>
      </c>
      <c r="FP8" s="2" t="s">
        <v>3139</v>
      </c>
      <c r="FQ8" s="2" t="s">
        <v>2588</v>
      </c>
      <c r="FR8" s="2" t="s">
        <v>3442</v>
      </c>
      <c r="FS8" s="2" t="s">
        <v>2653</v>
      </c>
      <c r="FT8" s="2"/>
      <c r="FU8" s="2" t="s">
        <v>2665</v>
      </c>
      <c r="FV8" s="2"/>
      <c r="FW8" s="2" t="s">
        <v>1330</v>
      </c>
      <c r="FX8" s="2" t="s">
        <v>754</v>
      </c>
      <c r="FY8" s="2" t="s">
        <v>2827</v>
      </c>
      <c r="FZ8" s="2"/>
      <c r="GA8" s="2" t="s">
        <v>1961</v>
      </c>
      <c r="GB8" s="2"/>
      <c r="GC8" s="2"/>
      <c r="GD8" s="2" t="s">
        <v>2941</v>
      </c>
      <c r="GE8" s="2" t="s">
        <v>2264</v>
      </c>
      <c r="GF8" s="2" t="s">
        <v>2108</v>
      </c>
      <c r="GG8" s="2" t="s">
        <v>2171</v>
      </c>
      <c r="GH8" s="2"/>
      <c r="GI8" s="2"/>
      <c r="GJ8" s="2"/>
      <c r="GK8" s="2"/>
      <c r="GL8" s="2"/>
      <c r="GM8" s="2" t="s">
        <v>2130</v>
      </c>
      <c r="GN8" s="2"/>
      <c r="GO8" s="2"/>
      <c r="GP8" s="2" t="s">
        <v>1693</v>
      </c>
      <c r="GQ8" s="2"/>
      <c r="GR8" s="2" t="s">
        <v>2721</v>
      </c>
      <c r="GS8" s="2" t="s">
        <v>1758</v>
      </c>
      <c r="GT8" s="2" t="s">
        <v>3418</v>
      </c>
      <c r="GU8" s="2"/>
      <c r="GV8" s="2"/>
      <c r="GW8" s="2" t="s">
        <v>2616</v>
      </c>
      <c r="GX8" s="2" t="s">
        <v>2672</v>
      </c>
      <c r="GY8" s="2" t="s">
        <v>1878</v>
      </c>
      <c r="GZ8" s="2" t="s">
        <v>2229</v>
      </c>
      <c r="HA8" s="2"/>
      <c r="HB8" s="2" t="s">
        <v>1973</v>
      </c>
      <c r="HC8" s="2" t="s">
        <v>2160</v>
      </c>
      <c r="HD8" s="2"/>
      <c r="HE8" s="2"/>
      <c r="HF8" s="2" t="s">
        <v>2148</v>
      </c>
      <c r="HG8" s="2" t="s">
        <v>2314</v>
      </c>
      <c r="HH8" s="2" t="s">
        <v>1584</v>
      </c>
      <c r="HI8" s="2"/>
      <c r="HJ8" s="2"/>
      <c r="HK8" s="2" t="s">
        <v>3198</v>
      </c>
      <c r="HL8" s="2"/>
      <c r="HM8" s="2" t="s">
        <v>3559</v>
      </c>
      <c r="HN8" s="2" t="s">
        <v>3053</v>
      </c>
      <c r="HO8" s="2"/>
      <c r="HP8" s="2"/>
      <c r="HQ8" s="2"/>
      <c r="HR8" s="2" t="s">
        <v>2811</v>
      </c>
      <c r="HS8" s="2"/>
      <c r="HT8" s="2" t="s">
        <v>1701</v>
      </c>
      <c r="HU8" s="2"/>
      <c r="HV8" s="2"/>
      <c r="HW8" s="2"/>
      <c r="HX8" s="2" t="s">
        <v>343</v>
      </c>
      <c r="HY8" s="2"/>
      <c r="HZ8" s="2" t="s">
        <v>1925</v>
      </c>
      <c r="IA8" s="2" t="s">
        <v>466</v>
      </c>
      <c r="IB8" s="2" t="s">
        <v>3256</v>
      </c>
      <c r="IC8" s="2"/>
      <c r="ID8" s="2" t="s">
        <v>1600</v>
      </c>
      <c r="IE8" s="2" t="s">
        <v>2954</v>
      </c>
      <c r="IF8" s="2" t="s">
        <v>2221</v>
      </c>
      <c r="IG8" s="2" t="s">
        <v>2687</v>
      </c>
      <c r="IH8" s="2"/>
      <c r="II8" s="2"/>
      <c r="IJ8" s="2" t="s">
        <v>1830</v>
      </c>
      <c r="IK8" s="2" t="s">
        <v>1669</v>
      </c>
      <c r="IL8" s="2"/>
      <c r="IM8" s="2" t="s">
        <v>2464</v>
      </c>
      <c r="IN8" s="2"/>
      <c r="IO8" s="2" t="s">
        <v>2236</v>
      </c>
      <c r="IP8" s="2"/>
      <c r="IQ8" s="2"/>
      <c r="IR8" s="2"/>
      <c r="IS8" s="2"/>
      <c r="IT8" s="2"/>
      <c r="IU8" s="2" t="s">
        <v>1837</v>
      </c>
      <c r="IV8" s="2" t="s">
        <v>832</v>
      </c>
      <c r="IW8" s="2" t="s">
        <v>2525</v>
      </c>
      <c r="IX8" s="2"/>
      <c r="IY8" s="2" t="s">
        <v>2440</v>
      </c>
      <c r="IZ8" s="2"/>
      <c r="JA8" s="2" t="s">
        <v>3566</v>
      </c>
      <c r="JB8" s="2" t="s">
        <v>3376</v>
      </c>
      <c r="JC8" s="2"/>
      <c r="JD8" s="2"/>
      <c r="JE8" s="2" t="s">
        <v>3087</v>
      </c>
      <c r="JF8" s="2"/>
      <c r="JG8" s="2"/>
      <c r="JH8" s="2" t="s">
        <v>2044</v>
      </c>
      <c r="JI8" s="2" t="s">
        <v>1251</v>
      </c>
      <c r="JJ8" s="2"/>
      <c r="JK8" s="2" t="s">
        <v>1398</v>
      </c>
      <c r="JL8" s="2" t="s">
        <v>3017</v>
      </c>
      <c r="JM8" s="2" t="s">
        <v>1042</v>
      </c>
      <c r="JN8" s="2" t="s">
        <v>1687</v>
      </c>
      <c r="JO8" s="2"/>
      <c r="JP8" s="2" t="s">
        <v>1455</v>
      </c>
      <c r="JQ8" s="2" t="s">
        <v>1263</v>
      </c>
      <c r="JR8" s="2"/>
      <c r="JS8" s="2" t="s">
        <v>3101</v>
      </c>
      <c r="JT8" s="2" t="s">
        <v>542</v>
      </c>
      <c r="JU8" s="2" t="s">
        <v>3353</v>
      </c>
      <c r="JV8" s="2" t="s">
        <v>487</v>
      </c>
      <c r="JW8" s="2" t="s">
        <v>2537</v>
      </c>
      <c r="JX8" s="2" t="s">
        <v>2245</v>
      </c>
      <c r="JY8" s="2" t="s">
        <v>2577</v>
      </c>
      <c r="JZ8" s="2" t="s">
        <v>1271</v>
      </c>
      <c r="KA8" s="2"/>
      <c r="KB8" s="2" t="s">
        <v>3520</v>
      </c>
      <c r="KC8" s="2" t="s">
        <v>2873</v>
      </c>
      <c r="KD8" s="2" t="s">
        <v>1787</v>
      </c>
      <c r="KE8" s="2"/>
      <c r="KF8" s="2"/>
      <c r="KG8" s="2" t="s">
        <v>1409</v>
      </c>
      <c r="KH8" s="2" t="s">
        <v>3121</v>
      </c>
      <c r="KI8" s="2"/>
      <c r="KJ8" s="2"/>
      <c r="KK8" s="2"/>
      <c r="KL8" s="2" t="s">
        <v>1316</v>
      </c>
      <c r="KM8" s="2" t="s">
        <v>1378</v>
      </c>
      <c r="KN8" s="2"/>
      <c r="KO8" s="2" t="s">
        <v>1428</v>
      </c>
      <c r="KP8" s="2" t="s">
        <v>2502</v>
      </c>
      <c r="KQ8" s="2" t="s">
        <v>937</v>
      </c>
      <c r="KR8" s="2" t="s">
        <v>1391</v>
      </c>
      <c r="KS8" s="2" t="s">
        <v>1886</v>
      </c>
      <c r="KT8" s="2"/>
      <c r="KU8" s="2"/>
      <c r="KV8" s="2"/>
      <c r="KW8" s="2" t="s">
        <v>3666</v>
      </c>
      <c r="KX8" s="2" t="s">
        <v>3716</v>
      </c>
      <c r="KY8" s="2" t="s">
        <v>3040</v>
      </c>
      <c r="KZ8" s="2"/>
      <c r="LA8" s="2" t="s">
        <v>3363</v>
      </c>
      <c r="LB8" s="2" t="s">
        <v>3542</v>
      </c>
      <c r="LC8" s="2"/>
      <c r="LD8" s="2" t="s">
        <v>3024</v>
      </c>
      <c r="LE8" s="2" t="s">
        <v>2118</v>
      </c>
      <c r="LF8" s="2" t="s">
        <v>1352</v>
      </c>
      <c r="LG8" s="2" t="s">
        <v>2635</v>
      </c>
      <c r="LH8" s="2"/>
      <c r="LI8" s="2" t="s">
        <v>2391</v>
      </c>
      <c r="LJ8" s="2" t="s">
        <v>1521</v>
      </c>
      <c r="LK8" s="2"/>
      <c r="LL8" s="2" t="s">
        <v>1530</v>
      </c>
      <c r="LM8" s="2"/>
      <c r="LN8" s="2" t="s">
        <v>2472</v>
      </c>
      <c r="LO8" s="2"/>
      <c r="LP8" s="2" t="s">
        <v>1871</v>
      </c>
      <c r="LQ8" s="2"/>
      <c r="LR8" s="2"/>
      <c r="LS8" s="2" t="s">
        <v>3147</v>
      </c>
      <c r="LT8" s="2" t="s">
        <v>3163</v>
      </c>
      <c r="LU8" s="2" t="s">
        <v>3131</v>
      </c>
      <c r="LV8" s="2" t="s">
        <v>1505</v>
      </c>
      <c r="LW8" s="2" t="s">
        <v>1994</v>
      </c>
    </row>
    <row r="9" spans="1:335">
      <c r="A9" s="2"/>
      <c r="B9" s="2" t="s">
        <v>2856</v>
      </c>
      <c r="C9" s="2" t="s">
        <v>1950</v>
      </c>
      <c r="D9" s="2"/>
      <c r="E9" s="2" t="s">
        <v>1614</v>
      </c>
      <c r="F9" s="2" t="s">
        <v>2097</v>
      </c>
      <c r="G9" s="2"/>
      <c r="H9" s="2"/>
      <c r="I9" s="2" t="s">
        <v>3552</v>
      </c>
      <c r="J9" s="2" t="s">
        <v>1126</v>
      </c>
      <c r="K9" s="2" t="s">
        <v>2199</v>
      </c>
      <c r="L9" s="2" t="s">
        <v>3239</v>
      </c>
      <c r="M9" s="2"/>
      <c r="N9" s="2" t="s">
        <v>1815</v>
      </c>
      <c r="O9" s="2"/>
      <c r="P9" s="2" t="s">
        <v>1300</v>
      </c>
      <c r="Q9" s="2"/>
      <c r="R9" s="2" t="s">
        <v>3629</v>
      </c>
      <c r="S9" s="2" t="s">
        <v>2977</v>
      </c>
      <c r="T9" s="2" t="s">
        <v>2028</v>
      </c>
      <c r="U9" s="2"/>
      <c r="V9" s="2"/>
      <c r="W9" s="2" t="s">
        <v>1556</v>
      </c>
      <c r="X9" s="2" t="s">
        <v>3700</v>
      </c>
      <c r="Y9" s="2"/>
      <c r="Z9" s="2" t="s">
        <v>1571</v>
      </c>
      <c r="AA9" s="2" t="s">
        <v>602</v>
      </c>
      <c r="AB9" s="2"/>
      <c r="AC9" s="2" t="s">
        <v>2372</v>
      </c>
      <c r="AD9" s="2"/>
      <c r="AE9" s="2"/>
      <c r="AF9" s="2"/>
      <c r="AG9" s="2"/>
      <c r="AH9" s="2" t="s">
        <v>3482</v>
      </c>
      <c r="AI9" s="2"/>
      <c r="AJ9" s="2"/>
      <c r="AK9" s="2" t="s">
        <v>3072</v>
      </c>
      <c r="AL9" s="2" t="s">
        <v>1240</v>
      </c>
      <c r="AM9" s="2" t="s">
        <v>178</v>
      </c>
      <c r="AN9" s="2"/>
      <c r="AO9" s="2" t="s">
        <v>2420</v>
      </c>
      <c r="AP9" s="2" t="s">
        <v>1632</v>
      </c>
      <c r="AQ9" s="2" t="s">
        <v>2988</v>
      </c>
      <c r="AR9" s="2" t="s">
        <v>2743</v>
      </c>
      <c r="AS9" s="2" t="s">
        <v>1985</v>
      </c>
      <c r="AT9" s="2" t="s">
        <v>2010</v>
      </c>
      <c r="AU9" s="2" t="s">
        <v>1681</v>
      </c>
      <c r="AV9" s="2" t="s">
        <v>2350</v>
      </c>
      <c r="AW9" s="2"/>
      <c r="AX9" s="2"/>
      <c r="AY9" s="2" t="s">
        <v>1539</v>
      </c>
      <c r="AZ9" s="2" t="s">
        <v>1806</v>
      </c>
      <c r="BA9" s="2"/>
      <c r="BB9" s="2" t="s">
        <v>2063</v>
      </c>
      <c r="BC9" s="2" t="s">
        <v>1439</v>
      </c>
      <c r="BD9" s="2"/>
      <c r="BE9" s="2" t="s">
        <v>1177</v>
      </c>
      <c r="BF9" s="2"/>
      <c r="BG9" s="2" t="s">
        <v>2382</v>
      </c>
      <c r="BH9" s="2" t="s">
        <v>1280</v>
      </c>
      <c r="BI9" s="2" t="s">
        <v>1216</v>
      </c>
      <c r="BJ9" s="2" t="s">
        <v>3692</v>
      </c>
      <c r="BK9" s="2"/>
      <c r="BL9" s="2" t="s">
        <v>3405</v>
      </c>
      <c r="BM9" s="2"/>
      <c r="BN9" s="2" t="s">
        <v>1487</v>
      </c>
      <c r="BO9" s="2" t="s">
        <v>428</v>
      </c>
      <c r="BP9" s="2" t="s">
        <v>2363</v>
      </c>
      <c r="BQ9" s="2"/>
      <c r="BR9" s="2" t="s">
        <v>3680</v>
      </c>
      <c r="BS9" s="2"/>
      <c r="BT9" s="2"/>
      <c r="BU9" s="2"/>
      <c r="BV9" s="2"/>
      <c r="BW9" s="2"/>
      <c r="BX9" s="2" t="s">
        <v>898</v>
      </c>
      <c r="BY9" s="2" t="s">
        <v>1547</v>
      </c>
      <c r="BZ9" s="2" t="s">
        <v>3281</v>
      </c>
      <c r="CA9" s="2" t="s">
        <v>1344</v>
      </c>
      <c r="CB9" s="2"/>
      <c r="CC9" s="2" t="s">
        <v>268</v>
      </c>
      <c r="CD9" s="2" t="s">
        <v>868</v>
      </c>
      <c r="CE9" s="2"/>
      <c r="CF9" s="2"/>
      <c r="CG9" s="2"/>
      <c r="CH9" s="2" t="s">
        <v>2002</v>
      </c>
      <c r="CI9" s="2" t="s">
        <v>1748</v>
      </c>
      <c r="CJ9" s="2" t="s">
        <v>1861</v>
      </c>
      <c r="CK9" s="2" t="s">
        <v>3466</v>
      </c>
      <c r="CL9" s="2" t="s">
        <v>2289</v>
      </c>
      <c r="CM9" s="2"/>
      <c r="CN9" s="2"/>
      <c r="CO9" s="2" t="s">
        <v>3003</v>
      </c>
      <c r="CP9" s="2" t="s">
        <v>2428</v>
      </c>
      <c r="CQ9" s="2" t="s">
        <v>2076</v>
      </c>
      <c r="CR9" s="2" t="s">
        <v>3393</v>
      </c>
      <c r="CS9" s="2"/>
      <c r="CT9" s="2"/>
      <c r="CU9" s="2"/>
      <c r="CV9" s="2" t="s">
        <v>3324</v>
      </c>
      <c r="CW9" s="2" t="s">
        <v>2550</v>
      </c>
      <c r="CX9" s="2"/>
      <c r="CY9" s="2"/>
      <c r="CZ9" s="2"/>
      <c r="DA9" s="2"/>
      <c r="DB9" s="2" t="s">
        <v>3658</v>
      </c>
      <c r="DC9" s="2"/>
      <c r="DD9" s="2" t="s">
        <v>2559</v>
      </c>
      <c r="DE9" s="2"/>
      <c r="DF9" s="2" t="s">
        <v>2279</v>
      </c>
      <c r="DG9" s="2"/>
      <c r="DH9" s="2"/>
      <c r="DI9" s="2" t="s">
        <v>2624</v>
      </c>
      <c r="DJ9" s="2" t="s">
        <v>3528</v>
      </c>
      <c r="DK9" s="2" t="s">
        <v>805</v>
      </c>
      <c r="DL9" s="2" t="s">
        <v>3430</v>
      </c>
      <c r="DM9" s="2" t="s">
        <v>1479</v>
      </c>
      <c r="DN9" s="2" t="s">
        <v>2255</v>
      </c>
      <c r="DO9" s="2" t="s">
        <v>674</v>
      </c>
      <c r="DP9" s="2"/>
      <c r="DQ9" s="2"/>
      <c r="DR9" s="2" t="s">
        <v>1652</v>
      </c>
      <c r="DS9" s="2"/>
      <c r="DT9" s="2" t="s">
        <v>2211</v>
      </c>
      <c r="DU9" s="2"/>
      <c r="DV9" s="2" t="s">
        <v>1084</v>
      </c>
      <c r="DW9" s="2" t="s">
        <v>2600</v>
      </c>
      <c r="DX9" s="2"/>
      <c r="DY9" s="2" t="s">
        <v>3229</v>
      </c>
      <c r="DZ9" s="2" t="s">
        <v>2491</v>
      </c>
      <c r="EA9" s="2"/>
      <c r="EB9" s="2" t="s">
        <v>2913</v>
      </c>
      <c r="EC9" s="2"/>
      <c r="ED9" s="2" t="s">
        <v>725</v>
      </c>
      <c r="EE9" s="2" t="s">
        <v>2086</v>
      </c>
      <c r="EF9" s="2"/>
      <c r="EG9" s="2" t="s">
        <v>3305</v>
      </c>
      <c r="EH9" s="2"/>
      <c r="EI9" s="2"/>
      <c r="EJ9" s="2" t="s">
        <v>3270</v>
      </c>
      <c r="EK9" s="2" t="s">
        <v>2303</v>
      </c>
      <c r="EL9" s="2"/>
      <c r="EM9" s="2" t="s">
        <v>1645</v>
      </c>
      <c r="EN9" s="2" t="s">
        <v>3336</v>
      </c>
      <c r="EO9" s="2"/>
      <c r="EP9" s="2" t="s">
        <v>3176</v>
      </c>
      <c r="EQ9" s="2" t="s">
        <v>3647</v>
      </c>
      <c r="ER9" s="2" t="s">
        <v>3313</v>
      </c>
      <c r="ES9" s="2" t="s">
        <v>3213</v>
      </c>
      <c r="ET9" s="2" t="s">
        <v>1012</v>
      </c>
      <c r="EU9" s="2"/>
      <c r="EV9" s="2"/>
      <c r="EW9" s="2" t="s">
        <v>3190</v>
      </c>
      <c r="EX9" s="2"/>
      <c r="EY9" s="2"/>
      <c r="EZ9" s="2"/>
      <c r="FA9" s="2"/>
      <c r="FB9" s="2" t="s">
        <v>1735</v>
      </c>
      <c r="FC9" s="2"/>
      <c r="FD9" s="2"/>
      <c r="FE9" s="2"/>
      <c r="FF9" s="2"/>
      <c r="FG9" s="2" t="s">
        <v>2755</v>
      </c>
      <c r="FH9" s="2" t="s">
        <v>2512</v>
      </c>
      <c r="FI9" s="2" t="s">
        <v>2765</v>
      </c>
      <c r="FJ9" s="2" t="s">
        <v>2701</v>
      </c>
      <c r="FK9" s="2"/>
      <c r="FL9" s="2" t="s">
        <v>3247</v>
      </c>
      <c r="FM9" s="2" t="s">
        <v>3454</v>
      </c>
      <c r="FN9" s="2"/>
      <c r="FO9" s="2" t="s">
        <v>2401</v>
      </c>
      <c r="FP9" s="2" t="s">
        <v>3140</v>
      </c>
      <c r="FQ9" s="2" t="s">
        <v>2589</v>
      </c>
      <c r="FR9" s="2" t="s">
        <v>3443</v>
      </c>
      <c r="FS9" s="2"/>
      <c r="FT9" s="2"/>
      <c r="FU9" s="2"/>
      <c r="FV9" s="2"/>
      <c r="FW9" s="2" t="s">
        <v>1331</v>
      </c>
      <c r="FX9" s="2" t="s">
        <v>757</v>
      </c>
      <c r="FY9" s="2" t="s">
        <v>2828</v>
      </c>
      <c r="FZ9" s="2"/>
      <c r="GA9" s="2" t="s">
        <v>1962</v>
      </c>
      <c r="GB9" s="2"/>
      <c r="GC9" s="2"/>
      <c r="GD9" s="2"/>
      <c r="GE9" s="2" t="s">
        <v>2265</v>
      </c>
      <c r="GF9" s="2" t="s">
        <v>2109</v>
      </c>
      <c r="GG9" s="2" t="s">
        <v>2172</v>
      </c>
      <c r="GH9" s="2"/>
      <c r="GI9" s="2"/>
      <c r="GJ9" s="2"/>
      <c r="GK9" s="2"/>
      <c r="GL9" s="2"/>
      <c r="GM9" s="2" t="s">
        <v>2131</v>
      </c>
      <c r="GN9" s="2"/>
      <c r="GO9" s="2"/>
      <c r="GP9" s="2" t="s">
        <v>1694</v>
      </c>
      <c r="GQ9" s="2"/>
      <c r="GR9" s="2" t="s">
        <v>2722</v>
      </c>
      <c r="GS9" s="2" t="s">
        <v>1759</v>
      </c>
      <c r="GT9" s="2" t="s">
        <v>3419</v>
      </c>
      <c r="GU9" s="2"/>
      <c r="GV9" s="2"/>
      <c r="GW9" s="2" t="s">
        <v>2617</v>
      </c>
      <c r="GX9" s="2" t="s">
        <v>2673</v>
      </c>
      <c r="GY9" s="2" t="s">
        <v>1879</v>
      </c>
      <c r="GZ9" s="2"/>
      <c r="HA9" s="2"/>
      <c r="HB9" s="2" t="s">
        <v>1974</v>
      </c>
      <c r="HC9" s="2" t="s">
        <v>2161</v>
      </c>
      <c r="HD9" s="2"/>
      <c r="HE9" s="2"/>
      <c r="HF9" s="2" t="s">
        <v>2149</v>
      </c>
      <c r="HG9" s="2" t="s">
        <v>2315</v>
      </c>
      <c r="HH9" s="2" t="s">
        <v>1585</v>
      </c>
      <c r="HI9" s="2"/>
      <c r="HJ9" s="2"/>
      <c r="HK9" s="2" t="s">
        <v>3199</v>
      </c>
      <c r="HL9" s="2"/>
      <c r="HM9" s="2" t="s">
        <v>3560</v>
      </c>
      <c r="HN9" s="2" t="s">
        <v>3054</v>
      </c>
      <c r="HO9" s="2"/>
      <c r="HP9" s="2"/>
      <c r="HQ9" s="2"/>
      <c r="HR9" s="2" t="s">
        <v>2812</v>
      </c>
      <c r="HS9" s="2"/>
      <c r="HT9" s="2" t="s">
        <v>1702</v>
      </c>
      <c r="HU9" s="2"/>
      <c r="HV9" s="2"/>
      <c r="HW9" s="2"/>
      <c r="HX9" s="2" t="s">
        <v>347</v>
      </c>
      <c r="HY9" s="2"/>
      <c r="HZ9" s="2" t="s">
        <v>1926</v>
      </c>
      <c r="IA9" s="2"/>
      <c r="IB9" s="2" t="s">
        <v>3257</v>
      </c>
      <c r="IC9" s="2"/>
      <c r="ID9" s="2" t="s">
        <v>1601</v>
      </c>
      <c r="IE9" s="2" t="s">
        <v>2955</v>
      </c>
      <c r="IF9" s="2" t="s">
        <v>2222</v>
      </c>
      <c r="IG9" s="2" t="s">
        <v>2688</v>
      </c>
      <c r="IH9" s="2"/>
      <c r="II9" s="2"/>
      <c r="IJ9" s="2"/>
      <c r="IK9" s="2" t="s">
        <v>1670</v>
      </c>
      <c r="IL9" s="2"/>
      <c r="IM9" s="2" t="s">
        <v>2465</v>
      </c>
      <c r="IN9" s="2"/>
      <c r="IO9" s="2" t="s">
        <v>2237</v>
      </c>
      <c r="IP9" s="2"/>
      <c r="IQ9" s="2"/>
      <c r="IR9" s="2"/>
      <c r="IS9" s="2"/>
      <c r="IT9" s="2"/>
      <c r="IU9" s="2"/>
      <c r="IV9" s="2" t="s">
        <v>835</v>
      </c>
      <c r="IW9" s="2" t="s">
        <v>2526</v>
      </c>
      <c r="IX9" s="2"/>
      <c r="IY9" s="2" t="s">
        <v>2441</v>
      </c>
      <c r="IZ9" s="2"/>
      <c r="JA9" s="2"/>
      <c r="JB9" s="2" t="s">
        <v>3377</v>
      </c>
      <c r="JC9" s="2"/>
      <c r="JD9" s="2"/>
      <c r="JE9" s="2" t="s">
        <v>3088</v>
      </c>
      <c r="JF9" s="2"/>
      <c r="JG9" s="2"/>
      <c r="JH9" s="2" t="s">
        <v>2045</v>
      </c>
      <c r="JI9" s="2" t="s">
        <v>1252</v>
      </c>
      <c r="JJ9" s="2"/>
      <c r="JK9" s="2"/>
      <c r="JL9" s="2"/>
      <c r="JM9" s="2" t="s">
        <v>1045</v>
      </c>
      <c r="JN9" s="2"/>
      <c r="JO9" s="2"/>
      <c r="JP9" s="2"/>
      <c r="JQ9" s="2" t="s">
        <v>1264</v>
      </c>
      <c r="JR9" s="2"/>
      <c r="JS9" s="2" t="s">
        <v>3102</v>
      </c>
      <c r="JT9" s="2" t="s">
        <v>545</v>
      </c>
      <c r="JU9" s="2" t="s">
        <v>3354</v>
      </c>
      <c r="JV9" s="2" t="s">
        <v>490</v>
      </c>
      <c r="JW9" s="2" t="s">
        <v>2538</v>
      </c>
      <c r="JX9" s="2" t="s">
        <v>2246</v>
      </c>
      <c r="JY9" s="2" t="s">
        <v>2578</v>
      </c>
      <c r="JZ9" s="2" t="s">
        <v>1272</v>
      </c>
      <c r="KA9" s="2"/>
      <c r="KB9" s="2"/>
      <c r="KC9" s="2" t="s">
        <v>2874</v>
      </c>
      <c r="KD9" s="2" t="s">
        <v>1788</v>
      </c>
      <c r="KE9" s="2"/>
      <c r="KF9" s="2"/>
      <c r="KG9" s="2"/>
      <c r="KH9" s="2" t="s">
        <v>3122</v>
      </c>
      <c r="KI9" s="2"/>
      <c r="KJ9" s="2"/>
      <c r="KK9" s="2"/>
      <c r="KL9" s="2" t="s">
        <v>1317</v>
      </c>
      <c r="KM9" s="2"/>
      <c r="KN9" s="2"/>
      <c r="KO9" s="2" t="s">
        <v>1429</v>
      </c>
      <c r="KP9" s="2" t="s">
        <v>2503</v>
      </c>
      <c r="KQ9" s="2" t="s">
        <v>939</v>
      </c>
      <c r="KR9" s="2"/>
      <c r="KS9" s="2" t="s">
        <v>1887</v>
      </c>
      <c r="KT9" s="2"/>
      <c r="KU9" s="2"/>
      <c r="KV9" s="2"/>
      <c r="KW9" s="2" t="s">
        <v>3667</v>
      </c>
      <c r="KX9" s="2"/>
      <c r="KY9" s="2" t="s">
        <v>3041</v>
      </c>
      <c r="KZ9" s="2"/>
      <c r="LA9" s="2"/>
      <c r="LB9" s="2" t="s">
        <v>3543</v>
      </c>
      <c r="LC9" s="2"/>
      <c r="LD9" s="2" t="s">
        <v>3025</v>
      </c>
      <c r="LE9" s="2" t="s">
        <v>2119</v>
      </c>
      <c r="LF9" s="2"/>
      <c r="LG9" s="2" t="s">
        <v>2636</v>
      </c>
      <c r="LH9" s="2"/>
      <c r="LI9" s="2" t="s">
        <v>2392</v>
      </c>
      <c r="LJ9" s="2" t="s">
        <v>1522</v>
      </c>
      <c r="LK9" s="2"/>
      <c r="LL9" s="2" t="s">
        <v>1531</v>
      </c>
      <c r="LM9" s="2"/>
      <c r="LN9" s="2" t="s">
        <v>2473</v>
      </c>
      <c r="LO9" s="2"/>
      <c r="LP9" s="2"/>
      <c r="LQ9" s="2"/>
      <c r="LR9" s="2"/>
      <c r="LS9" s="2" t="s">
        <v>3148</v>
      </c>
      <c r="LT9" s="2" t="s">
        <v>3164</v>
      </c>
      <c r="LU9" s="2" t="s">
        <v>3132</v>
      </c>
      <c r="LV9" s="2" t="s">
        <v>1506</v>
      </c>
      <c r="LW9" s="2"/>
    </row>
    <row r="10" spans="1:335">
      <c r="A10" s="2"/>
      <c r="B10" s="2" t="s">
        <v>2857</v>
      </c>
      <c r="C10" s="2" t="s">
        <v>1951</v>
      </c>
      <c r="D10" s="2"/>
      <c r="E10" s="2" t="s">
        <v>1615</v>
      </c>
      <c r="F10" s="2" t="s">
        <v>2098</v>
      </c>
      <c r="G10" s="2"/>
      <c r="H10" s="2"/>
      <c r="I10" s="2"/>
      <c r="J10" s="2" t="s">
        <v>1129</v>
      </c>
      <c r="K10" s="2" t="s">
        <v>2200</v>
      </c>
      <c r="L10" s="2"/>
      <c r="M10" s="2"/>
      <c r="N10" s="2" t="s">
        <v>1816</v>
      </c>
      <c r="O10" s="2"/>
      <c r="P10" s="2" t="s">
        <v>1301</v>
      </c>
      <c r="Q10" s="2"/>
      <c r="R10" s="2"/>
      <c r="S10" s="2" t="s">
        <v>2978</v>
      </c>
      <c r="T10" s="2" t="s">
        <v>2029</v>
      </c>
      <c r="U10" s="2"/>
      <c r="V10" s="2"/>
      <c r="W10" s="2" t="s">
        <v>1557</v>
      </c>
      <c r="X10" s="2" t="s">
        <v>3701</v>
      </c>
      <c r="Y10" s="2"/>
      <c r="Z10" s="2" t="s">
        <v>1572</v>
      </c>
      <c r="AA10" s="2" t="s">
        <v>605</v>
      </c>
      <c r="AB10" s="2"/>
      <c r="AC10" s="2" t="s">
        <v>2373</v>
      </c>
      <c r="AD10" s="2"/>
      <c r="AE10" s="2"/>
      <c r="AF10" s="2"/>
      <c r="AG10" s="2"/>
      <c r="AH10" s="2"/>
      <c r="AI10" s="2"/>
      <c r="AJ10" s="2"/>
      <c r="AK10" s="2" t="s">
        <v>3073</v>
      </c>
      <c r="AL10" s="2" t="s">
        <v>1241</v>
      </c>
      <c r="AM10" s="2" t="s">
        <v>183</v>
      </c>
      <c r="AN10" s="2"/>
      <c r="AO10" s="2"/>
      <c r="AP10" s="2" t="s">
        <v>1633</v>
      </c>
      <c r="AQ10" s="2" t="s">
        <v>2989</v>
      </c>
      <c r="AR10" s="2" t="s">
        <v>2744</v>
      </c>
      <c r="AS10" s="2" t="s">
        <v>1986</v>
      </c>
      <c r="AT10" s="2" t="s">
        <v>2011</v>
      </c>
      <c r="AU10" s="2"/>
      <c r="AV10" s="2" t="s">
        <v>2351</v>
      </c>
      <c r="AW10" s="2"/>
      <c r="AX10" s="2"/>
      <c r="AY10" s="2"/>
      <c r="AZ10" s="2" t="s">
        <v>1807</v>
      </c>
      <c r="BA10" s="2"/>
      <c r="BB10" s="2" t="s">
        <v>2064</v>
      </c>
      <c r="BC10" s="2" t="s">
        <v>1440</v>
      </c>
      <c r="BD10" s="2"/>
      <c r="BE10" s="2" t="s">
        <v>1180</v>
      </c>
      <c r="BF10" s="2"/>
      <c r="BG10" s="2" t="s">
        <v>2383</v>
      </c>
      <c r="BH10" s="2" t="s">
        <v>1281</v>
      </c>
      <c r="BI10" s="2" t="s">
        <v>1219</v>
      </c>
      <c r="BJ10" s="2"/>
      <c r="BK10" s="2"/>
      <c r="BL10" s="2" t="s">
        <v>3406</v>
      </c>
      <c r="BM10" s="2"/>
      <c r="BN10" s="2" t="s">
        <v>1488</v>
      </c>
      <c r="BO10" s="2" t="s">
        <v>431</v>
      </c>
      <c r="BP10" s="2" t="s">
        <v>2364</v>
      </c>
      <c r="BQ10" s="2"/>
      <c r="BR10" s="2" t="s">
        <v>3681</v>
      </c>
      <c r="BS10" s="2"/>
      <c r="BT10" s="2"/>
      <c r="BU10" s="2"/>
      <c r="BV10" s="2"/>
      <c r="BW10" s="2"/>
      <c r="BX10" s="2" t="s">
        <v>901</v>
      </c>
      <c r="BY10" s="2" t="s">
        <v>1548</v>
      </c>
      <c r="BZ10" s="2" t="s">
        <v>3282</v>
      </c>
      <c r="CA10" s="2" t="s">
        <v>1345</v>
      </c>
      <c r="CB10" s="2"/>
      <c r="CC10" s="2" t="s">
        <v>273</v>
      </c>
      <c r="CD10" s="2" t="s">
        <v>871</v>
      </c>
      <c r="CE10" s="2"/>
      <c r="CF10" s="2"/>
      <c r="CG10" s="2"/>
      <c r="CH10" s="2" t="s">
        <v>2003</v>
      </c>
      <c r="CI10" s="2" t="s">
        <v>1749</v>
      </c>
      <c r="CJ10" s="2" t="s">
        <v>1862</v>
      </c>
      <c r="CK10" s="2" t="s">
        <v>3467</v>
      </c>
      <c r="CL10" s="2" t="s">
        <v>2290</v>
      </c>
      <c r="CM10" s="2"/>
      <c r="CN10" s="2"/>
      <c r="CO10" s="2" t="s">
        <v>3004</v>
      </c>
      <c r="CP10" s="2" t="s">
        <v>2429</v>
      </c>
      <c r="CQ10" s="2" t="s">
        <v>2077</v>
      </c>
      <c r="CR10" s="2" t="s">
        <v>3394</v>
      </c>
      <c r="CS10" s="2"/>
      <c r="CT10" s="2"/>
      <c r="CU10" s="2"/>
      <c r="CV10" s="2" t="s">
        <v>3325</v>
      </c>
      <c r="CW10" s="2" t="s">
        <v>2551</v>
      </c>
      <c r="CX10" s="2"/>
      <c r="CY10" s="2"/>
      <c r="CZ10" s="2"/>
      <c r="DA10" s="2"/>
      <c r="DB10" s="2" t="s">
        <v>3659</v>
      </c>
      <c r="DC10" s="2"/>
      <c r="DD10" s="2" t="s">
        <v>2560</v>
      </c>
      <c r="DE10" s="2"/>
      <c r="DF10" s="2" t="s">
        <v>2280</v>
      </c>
      <c r="DG10" s="2"/>
      <c r="DH10" s="2"/>
      <c r="DI10" s="2" t="s">
        <v>2625</v>
      </c>
      <c r="DJ10" s="2"/>
      <c r="DK10" s="2" t="s">
        <v>808</v>
      </c>
      <c r="DL10" s="2" t="s">
        <v>3431</v>
      </c>
      <c r="DM10" s="2"/>
      <c r="DN10" s="2" t="s">
        <v>2256</v>
      </c>
      <c r="DO10" s="2" t="s">
        <v>677</v>
      </c>
      <c r="DP10" s="2"/>
      <c r="DQ10" s="2"/>
      <c r="DR10" s="2" t="s">
        <v>1653</v>
      </c>
      <c r="DS10" s="2"/>
      <c r="DT10" s="2" t="s">
        <v>2212</v>
      </c>
      <c r="DU10" s="2"/>
      <c r="DV10" s="2" t="s">
        <v>1087</v>
      </c>
      <c r="DW10" s="2" t="s">
        <v>2601</v>
      </c>
      <c r="DX10" s="2"/>
      <c r="DY10" s="2" t="s">
        <v>3230</v>
      </c>
      <c r="DZ10" s="2"/>
      <c r="EA10" s="2"/>
      <c r="EB10" s="2" t="s">
        <v>2914</v>
      </c>
      <c r="EC10" s="2"/>
      <c r="ED10" s="2" t="s">
        <v>728</v>
      </c>
      <c r="EE10" s="2" t="s">
        <v>2087</v>
      </c>
      <c r="EF10" s="2"/>
      <c r="EG10" s="2"/>
      <c r="EH10" s="2"/>
      <c r="EI10" s="2"/>
      <c r="EJ10" s="2"/>
      <c r="EK10" s="2" t="s">
        <v>2304</v>
      </c>
      <c r="EL10" s="2"/>
      <c r="EM10" s="2"/>
      <c r="EN10" s="2" t="s">
        <v>3337</v>
      </c>
      <c r="EO10" s="2"/>
      <c r="EP10" s="2" t="s">
        <v>3177</v>
      </c>
      <c r="EQ10" s="2"/>
      <c r="ER10" s="2" t="s">
        <v>3314</v>
      </c>
      <c r="ES10" s="2" t="s">
        <v>3214</v>
      </c>
      <c r="ET10" s="2" t="s">
        <v>1015</v>
      </c>
      <c r="EU10" s="2"/>
      <c r="EV10" s="2"/>
      <c r="EW10" s="2" t="s">
        <v>3191</v>
      </c>
      <c r="EX10" s="2"/>
      <c r="EY10" s="2"/>
      <c r="EZ10" s="2"/>
      <c r="FA10" s="2"/>
      <c r="FB10" s="2" t="s">
        <v>1736</v>
      </c>
      <c r="FC10" s="2"/>
      <c r="FD10" s="2"/>
      <c r="FE10" s="2"/>
      <c r="FF10" s="2"/>
      <c r="FG10" s="2" t="s">
        <v>2756</v>
      </c>
      <c r="FH10" s="2" t="s">
        <v>2513</v>
      </c>
      <c r="FI10" s="2" t="s">
        <v>2766</v>
      </c>
      <c r="FJ10" s="2"/>
      <c r="FK10" s="2"/>
      <c r="FL10" s="2" t="s">
        <v>3248</v>
      </c>
      <c r="FM10" s="2" t="s">
        <v>3455</v>
      </c>
      <c r="FN10" s="2"/>
      <c r="FO10" s="2" t="s">
        <v>2402</v>
      </c>
      <c r="FP10" s="2"/>
      <c r="FQ10" s="2" t="s">
        <v>2590</v>
      </c>
      <c r="FR10" s="2" t="s">
        <v>3444</v>
      </c>
      <c r="FS10" s="2"/>
      <c r="FT10" s="2"/>
      <c r="FU10" s="2"/>
      <c r="FV10" s="2"/>
      <c r="FW10" s="2" t="s">
        <v>1332</v>
      </c>
      <c r="FX10" s="2" t="s">
        <v>760</v>
      </c>
      <c r="FY10" s="2" t="s">
        <v>2829</v>
      </c>
      <c r="FZ10" s="2"/>
      <c r="GA10" s="2" t="s">
        <v>1963</v>
      </c>
      <c r="GB10" s="2"/>
      <c r="GC10" s="2"/>
      <c r="GD10" s="2"/>
      <c r="GE10" s="2" t="s">
        <v>2266</v>
      </c>
      <c r="GF10" s="2" t="s">
        <v>2110</v>
      </c>
      <c r="GG10" s="2" t="s">
        <v>2173</v>
      </c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 t="s">
        <v>1760</v>
      </c>
      <c r="GT10" s="2" t="s">
        <v>3420</v>
      </c>
      <c r="GU10" s="2"/>
      <c r="GV10" s="2"/>
      <c r="GW10" s="2"/>
      <c r="GX10" s="2" t="s">
        <v>2674</v>
      </c>
      <c r="GY10" s="2"/>
      <c r="GZ10" s="2"/>
      <c r="HA10" s="2"/>
      <c r="HB10" s="2" t="s">
        <v>1975</v>
      </c>
      <c r="HC10" s="2" t="s">
        <v>2162</v>
      </c>
      <c r="HD10" s="2"/>
      <c r="HE10" s="2"/>
      <c r="HF10" s="2" t="s">
        <v>2150</v>
      </c>
      <c r="HG10" s="2" t="s">
        <v>2316</v>
      </c>
      <c r="HH10" s="2" t="s">
        <v>1586</v>
      </c>
      <c r="HI10" s="2"/>
      <c r="HJ10" s="2"/>
      <c r="HK10" s="2" t="s">
        <v>3200</v>
      </c>
      <c r="HL10" s="2"/>
      <c r="HM10" s="2"/>
      <c r="HN10" s="2" t="s">
        <v>3055</v>
      </c>
      <c r="HO10" s="2"/>
      <c r="HP10" s="2"/>
      <c r="HQ10" s="2"/>
      <c r="HR10" s="2" t="s">
        <v>2813</v>
      </c>
      <c r="HS10" s="2"/>
      <c r="HT10" s="2" t="s">
        <v>1703</v>
      </c>
      <c r="HU10" s="2"/>
      <c r="HV10" s="2"/>
      <c r="HW10" s="2"/>
      <c r="HX10" s="2" t="s">
        <v>351</v>
      </c>
      <c r="HY10" s="2"/>
      <c r="HZ10" s="2" t="s">
        <v>1927</v>
      </c>
      <c r="IA10" s="2"/>
      <c r="IB10" s="2" t="s">
        <v>3258</v>
      </c>
      <c r="IC10" s="2"/>
      <c r="ID10" s="2" t="s">
        <v>1602</v>
      </c>
      <c r="IE10" s="2" t="s">
        <v>2956</v>
      </c>
      <c r="IF10" s="2"/>
      <c r="IG10" s="2"/>
      <c r="IH10" s="2"/>
      <c r="II10" s="2"/>
      <c r="IJ10" s="2"/>
      <c r="IK10" s="2" t="s">
        <v>1671</v>
      </c>
      <c r="IL10" s="2"/>
      <c r="IM10" s="2"/>
      <c r="IN10" s="2"/>
      <c r="IO10" s="2" t="s">
        <v>2238</v>
      </c>
      <c r="IP10" s="2"/>
      <c r="IQ10" s="2"/>
      <c r="IR10" s="2"/>
      <c r="IS10" s="2"/>
      <c r="IT10" s="2"/>
      <c r="IU10" s="2"/>
      <c r="IV10" s="2" t="s">
        <v>838</v>
      </c>
      <c r="IW10" s="2" t="s">
        <v>2527</v>
      </c>
      <c r="IX10" s="2"/>
      <c r="IY10" s="2" t="s">
        <v>2442</v>
      </c>
      <c r="IZ10" s="2"/>
      <c r="JA10" s="2"/>
      <c r="JB10" s="2" t="s">
        <v>319</v>
      </c>
      <c r="JC10" s="2"/>
      <c r="JD10" s="2"/>
      <c r="JE10" s="2" t="s">
        <v>3089</v>
      </c>
      <c r="JF10" s="2"/>
      <c r="JG10" s="2"/>
      <c r="JH10" s="2" t="s">
        <v>2046</v>
      </c>
      <c r="JI10" s="2" t="s">
        <v>1253</v>
      </c>
      <c r="JJ10" s="2"/>
      <c r="JK10" s="2"/>
      <c r="JL10" s="2"/>
      <c r="JM10" s="2" t="s">
        <v>1048</v>
      </c>
      <c r="JN10" s="2"/>
      <c r="JO10" s="2"/>
      <c r="JP10" s="2"/>
      <c r="JQ10" s="2"/>
      <c r="JR10" s="2"/>
      <c r="JS10" s="2" t="s">
        <v>3103</v>
      </c>
      <c r="JT10" s="2" t="s">
        <v>548</v>
      </c>
      <c r="JU10" s="2" t="s">
        <v>3355</v>
      </c>
      <c r="JV10" s="2" t="s">
        <v>493</v>
      </c>
      <c r="JW10" s="2" t="s">
        <v>2539</v>
      </c>
      <c r="JX10" s="2" t="s">
        <v>2247</v>
      </c>
      <c r="JY10" s="2" t="s">
        <v>2579</v>
      </c>
      <c r="JZ10" s="2"/>
      <c r="KA10" s="2"/>
      <c r="KB10" s="2"/>
      <c r="KC10" s="2" t="s">
        <v>2875</v>
      </c>
      <c r="KD10" s="2" t="s">
        <v>1789</v>
      </c>
      <c r="KE10" s="2"/>
      <c r="KF10" s="2"/>
      <c r="KG10" s="2"/>
      <c r="KH10" s="2" t="s">
        <v>3123</v>
      </c>
      <c r="KI10" s="2"/>
      <c r="KJ10" s="2"/>
      <c r="KK10" s="2"/>
      <c r="KL10" s="2" t="s">
        <v>1318</v>
      </c>
      <c r="KM10" s="2"/>
      <c r="KN10" s="2"/>
      <c r="KO10" s="2" t="s">
        <v>1430</v>
      </c>
      <c r="KP10" s="2" t="s">
        <v>2504</v>
      </c>
      <c r="KQ10" s="2" t="s">
        <v>942</v>
      </c>
      <c r="KR10" s="2"/>
      <c r="KS10" s="2"/>
      <c r="KT10" s="2"/>
      <c r="KU10" s="2"/>
      <c r="KV10" s="2"/>
      <c r="KW10" s="2" t="s">
        <v>3668</v>
      </c>
      <c r="KX10" s="2"/>
      <c r="KY10" s="2" t="s">
        <v>3042</v>
      </c>
      <c r="KZ10" s="2"/>
      <c r="LA10" s="2"/>
      <c r="LB10" s="2" t="s">
        <v>3544</v>
      </c>
      <c r="LC10" s="2"/>
      <c r="LD10" s="2"/>
      <c r="LE10" s="2" t="s">
        <v>2120</v>
      </c>
      <c r="LF10" s="2"/>
      <c r="LG10" s="2" t="s">
        <v>2637</v>
      </c>
      <c r="LH10" s="2"/>
      <c r="LI10" s="2" t="s">
        <v>2393</v>
      </c>
      <c r="LJ10" s="2" t="s">
        <v>1523</v>
      </c>
      <c r="LK10" s="2"/>
      <c r="LL10" s="2"/>
      <c r="LM10" s="2"/>
      <c r="LN10" s="2" t="s">
        <v>2474</v>
      </c>
      <c r="LO10" s="2"/>
      <c r="LP10" s="2"/>
      <c r="LQ10" s="2"/>
      <c r="LR10" s="2"/>
      <c r="LS10" s="2" t="s">
        <v>3149</v>
      </c>
      <c r="LT10" s="2" t="s">
        <v>3165</v>
      </c>
      <c r="LU10" s="2"/>
      <c r="LV10" s="2" t="s">
        <v>1507</v>
      </c>
      <c r="LW10" s="2"/>
    </row>
    <row r="11" spans="1:335">
      <c r="A11" s="2"/>
      <c r="B11" s="2" t="s">
        <v>2858</v>
      </c>
      <c r="C11" s="2" t="s">
        <v>1952</v>
      </c>
      <c r="D11" s="2"/>
      <c r="E11" s="2" t="s">
        <v>1616</v>
      </c>
      <c r="F11" s="2" t="s">
        <v>2099</v>
      </c>
      <c r="G11" s="2"/>
      <c r="H11" s="2"/>
      <c r="I11" s="2"/>
      <c r="J11" s="2" t="s">
        <v>1132</v>
      </c>
      <c r="K11" s="2" t="s">
        <v>2201</v>
      </c>
      <c r="L11" s="2"/>
      <c r="M11" s="2"/>
      <c r="N11" s="2"/>
      <c r="O11" s="2"/>
      <c r="P11" s="2" t="s">
        <v>1302</v>
      </c>
      <c r="Q11" s="2"/>
      <c r="R11" s="2"/>
      <c r="S11" s="2" t="s">
        <v>2979</v>
      </c>
      <c r="T11" s="2" t="s">
        <v>2030</v>
      </c>
      <c r="U11" s="2"/>
      <c r="V11" s="2"/>
      <c r="W11" s="2" t="s">
        <v>1558</v>
      </c>
      <c r="X11" s="2" t="s">
        <v>3702</v>
      </c>
      <c r="Y11" s="2"/>
      <c r="Z11" s="2" t="s">
        <v>1573</v>
      </c>
      <c r="AA11" s="2" t="s">
        <v>608</v>
      </c>
      <c r="AB11" s="2"/>
      <c r="AC11" s="2" t="s">
        <v>2374</v>
      </c>
      <c r="AD11" s="2"/>
      <c r="AE11" s="2"/>
      <c r="AF11" s="2"/>
      <c r="AG11" s="2"/>
      <c r="AH11" s="2"/>
      <c r="AI11" s="2"/>
      <c r="AJ11" s="2"/>
      <c r="AK11" s="2" t="s">
        <v>3074</v>
      </c>
      <c r="AL11" s="2"/>
      <c r="AM11" s="2" t="s">
        <v>188</v>
      </c>
      <c r="AN11" s="2"/>
      <c r="AO11" s="2"/>
      <c r="AP11" s="2" t="s">
        <v>1634</v>
      </c>
      <c r="AQ11" s="2"/>
      <c r="AR11" s="2" t="s">
        <v>2745</v>
      </c>
      <c r="AS11" s="2" t="s">
        <v>1987</v>
      </c>
      <c r="AT11" s="2"/>
      <c r="AU11" s="2"/>
      <c r="AV11" s="2" t="s">
        <v>2352</v>
      </c>
      <c r="AW11" s="2"/>
      <c r="AX11" s="2"/>
      <c r="AY11" s="2"/>
      <c r="AZ11" s="2"/>
      <c r="BA11" s="2"/>
      <c r="BB11" s="2" t="s">
        <v>2065</v>
      </c>
      <c r="BC11" s="2"/>
      <c r="BD11" s="2"/>
      <c r="BE11" s="2" t="s">
        <v>1183</v>
      </c>
      <c r="BF11" s="2"/>
      <c r="BG11" s="2" t="s">
        <v>2384</v>
      </c>
      <c r="BH11" s="2" t="s">
        <v>1282</v>
      </c>
      <c r="BI11" s="2"/>
      <c r="BJ11" s="2"/>
      <c r="BK11" s="2"/>
      <c r="BL11" s="2" t="s">
        <v>3407</v>
      </c>
      <c r="BM11" s="2"/>
      <c r="BN11" s="2" t="s">
        <v>1489</v>
      </c>
      <c r="BO11" s="2" t="s">
        <v>434</v>
      </c>
      <c r="BP11" s="2"/>
      <c r="BQ11" s="2"/>
      <c r="BR11" s="2" t="s">
        <v>3682</v>
      </c>
      <c r="BS11" s="2"/>
      <c r="BT11" s="2"/>
      <c r="BU11" s="2"/>
      <c r="BV11" s="2"/>
      <c r="BW11" s="2"/>
      <c r="BX11" s="2" t="s">
        <v>904</v>
      </c>
      <c r="BY11" s="2"/>
      <c r="BZ11" s="2" t="s">
        <v>3283</v>
      </c>
      <c r="CA11" s="2" t="s">
        <v>1346</v>
      </c>
      <c r="CB11" s="2"/>
      <c r="CC11" s="2" t="s">
        <v>278</v>
      </c>
      <c r="CD11" s="2" t="s">
        <v>874</v>
      </c>
      <c r="CE11" s="2"/>
      <c r="CF11" s="2"/>
      <c r="CG11" s="2"/>
      <c r="CH11" s="2"/>
      <c r="CI11" s="2" t="s">
        <v>1750</v>
      </c>
      <c r="CJ11" s="2" t="s">
        <v>1863</v>
      </c>
      <c r="CK11" s="2" t="s">
        <v>3468</v>
      </c>
      <c r="CL11" s="2"/>
      <c r="CM11" s="2"/>
      <c r="CN11" s="2"/>
      <c r="CO11" s="2" t="s">
        <v>3005</v>
      </c>
      <c r="CP11" s="2" t="s">
        <v>2430</v>
      </c>
      <c r="CQ11" s="2" t="s">
        <v>2078</v>
      </c>
      <c r="CR11" s="2" t="s">
        <v>3395</v>
      </c>
      <c r="CS11" s="2"/>
      <c r="CT11" s="2"/>
      <c r="CU11" s="2"/>
      <c r="CV11" s="2" t="s">
        <v>3326</v>
      </c>
      <c r="CW11" s="2"/>
      <c r="CX11" s="2"/>
      <c r="CY11" s="2"/>
      <c r="CZ11" s="2"/>
      <c r="DA11" s="2"/>
      <c r="DB11" s="2"/>
      <c r="DC11" s="2"/>
      <c r="DD11" s="2"/>
      <c r="DE11" s="2"/>
      <c r="DF11" s="2" t="s">
        <v>2281</v>
      </c>
      <c r="DG11" s="2"/>
      <c r="DH11" s="2"/>
      <c r="DI11" s="2" t="s">
        <v>2626</v>
      </c>
      <c r="DJ11" s="2"/>
      <c r="DK11" s="2" t="s">
        <v>811</v>
      </c>
      <c r="DL11" s="2" t="s">
        <v>3432</v>
      </c>
      <c r="DM11" s="2"/>
      <c r="DN11" s="2" t="s">
        <v>2257</v>
      </c>
      <c r="DO11" s="2" t="s">
        <v>680</v>
      </c>
      <c r="DP11" s="2"/>
      <c r="DQ11" s="2"/>
      <c r="DR11" s="2" t="s">
        <v>1654</v>
      </c>
      <c r="DS11" s="2"/>
      <c r="DT11" s="2" t="s">
        <v>2213</v>
      </c>
      <c r="DU11" s="2"/>
      <c r="DV11" s="2" t="s">
        <v>1090</v>
      </c>
      <c r="DW11" s="2" t="s">
        <v>2602</v>
      </c>
      <c r="DX11" s="2"/>
      <c r="DY11" s="2" t="s">
        <v>3231</v>
      </c>
      <c r="DZ11" s="2"/>
      <c r="EA11" s="2"/>
      <c r="EB11" s="2" t="s">
        <v>2915</v>
      </c>
      <c r="EC11" s="2"/>
      <c r="ED11" s="2" t="s">
        <v>731</v>
      </c>
      <c r="EE11" s="2" t="s">
        <v>2088</v>
      </c>
      <c r="EF11" s="2"/>
      <c r="EG11" s="2"/>
      <c r="EH11" s="2"/>
      <c r="EI11" s="2"/>
      <c r="EJ11" s="2"/>
      <c r="EK11" s="2" t="s">
        <v>2305</v>
      </c>
      <c r="EL11" s="2"/>
      <c r="EM11" s="2"/>
      <c r="EN11" s="2" t="s">
        <v>3338</v>
      </c>
      <c r="EO11" s="2"/>
      <c r="EP11" s="2" t="s">
        <v>3178</v>
      </c>
      <c r="EQ11" s="2"/>
      <c r="ER11" s="2" t="s">
        <v>3315</v>
      </c>
      <c r="ES11" s="2" t="s">
        <v>3215</v>
      </c>
      <c r="ET11" s="2" t="s">
        <v>1018</v>
      </c>
      <c r="EU11" s="2"/>
      <c r="EV11" s="2"/>
      <c r="EW11" s="2"/>
      <c r="EX11" s="2"/>
      <c r="EY11" s="2"/>
      <c r="EZ11" s="2"/>
      <c r="FA11" s="2"/>
      <c r="FB11" s="2" t="s">
        <v>1737</v>
      </c>
      <c r="FC11" s="2"/>
      <c r="FD11" s="2"/>
      <c r="FE11" s="2"/>
      <c r="FF11" s="2"/>
      <c r="FG11" s="2" t="s">
        <v>2757</v>
      </c>
      <c r="FH11" s="2"/>
      <c r="FI11" s="2" t="s">
        <v>2767</v>
      </c>
      <c r="FJ11" s="2"/>
      <c r="FK11" s="2"/>
      <c r="FL11" s="2" t="s">
        <v>3249</v>
      </c>
      <c r="FM11" s="2" t="s">
        <v>3456</v>
      </c>
      <c r="FN11" s="2"/>
      <c r="FO11" s="2" t="s">
        <v>2403</v>
      </c>
      <c r="FP11" s="2"/>
      <c r="FQ11" s="2" t="s">
        <v>2591</v>
      </c>
      <c r="FR11" s="2" t="s">
        <v>3445</v>
      </c>
      <c r="FS11" s="2"/>
      <c r="FT11" s="2"/>
      <c r="FU11" s="2"/>
      <c r="FV11" s="2"/>
      <c r="FW11" s="2" t="s">
        <v>1333</v>
      </c>
      <c r="FX11" s="2" t="s">
        <v>763</v>
      </c>
      <c r="FY11" s="2" t="s">
        <v>2830</v>
      </c>
      <c r="FZ11" s="2"/>
      <c r="GA11" s="2" t="s">
        <v>1964</v>
      </c>
      <c r="GB11" s="2"/>
      <c r="GC11" s="2"/>
      <c r="GD11" s="2"/>
      <c r="GE11" s="2" t="s">
        <v>2267</v>
      </c>
      <c r="GF11" s="2" t="s">
        <v>2111</v>
      </c>
      <c r="GG11" s="2" t="s">
        <v>2174</v>
      </c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 t="s">
        <v>1761</v>
      </c>
      <c r="GT11" s="2" t="s">
        <v>3421</v>
      </c>
      <c r="GU11" s="2"/>
      <c r="GV11" s="2"/>
      <c r="GW11" s="2"/>
      <c r="GX11" s="2"/>
      <c r="GY11" s="2"/>
      <c r="GZ11" s="2"/>
      <c r="HA11" s="2"/>
      <c r="HB11" s="2" t="s">
        <v>1976</v>
      </c>
      <c r="HC11" s="2" t="s">
        <v>2163</v>
      </c>
      <c r="HD11" s="2"/>
      <c r="HE11" s="2"/>
      <c r="HF11" s="2" t="s">
        <v>2151</v>
      </c>
      <c r="HG11" s="2" t="s">
        <v>2317</v>
      </c>
      <c r="HH11" s="2" t="s">
        <v>1587</v>
      </c>
      <c r="HI11" s="2"/>
      <c r="HJ11" s="2"/>
      <c r="HK11" s="2"/>
      <c r="HL11" s="2"/>
      <c r="HM11" s="2"/>
      <c r="HN11" s="2" t="s">
        <v>3056</v>
      </c>
      <c r="HO11" s="2"/>
      <c r="HP11" s="2"/>
      <c r="HQ11" s="2"/>
      <c r="HR11" s="2" t="s">
        <v>2814</v>
      </c>
      <c r="HS11" s="2"/>
      <c r="HT11" s="2"/>
      <c r="HU11" s="2"/>
      <c r="HV11" s="2"/>
      <c r="HW11" s="2"/>
      <c r="HX11" s="2" t="s">
        <v>355</v>
      </c>
      <c r="HY11" s="2"/>
      <c r="HZ11" s="2" t="s">
        <v>1928</v>
      </c>
      <c r="IA11" s="2"/>
      <c r="IB11" s="2" t="s">
        <v>3259</v>
      </c>
      <c r="IC11" s="2"/>
      <c r="ID11" s="2" t="s">
        <v>1603</v>
      </c>
      <c r="IE11" s="2"/>
      <c r="IF11" s="2"/>
      <c r="IG11" s="2"/>
      <c r="IH11" s="2"/>
      <c r="II11" s="2"/>
      <c r="IJ11" s="2"/>
      <c r="IK11" s="2" t="s">
        <v>1672</v>
      </c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 t="s">
        <v>841</v>
      </c>
      <c r="IW11" s="2" t="s">
        <v>2528</v>
      </c>
      <c r="IX11" s="2"/>
      <c r="IY11" s="2"/>
      <c r="IZ11" s="2"/>
      <c r="JA11" s="2"/>
      <c r="JB11" s="2" t="s">
        <v>3378</v>
      </c>
      <c r="JC11" s="2"/>
      <c r="JD11" s="2"/>
      <c r="JE11" s="2" t="s">
        <v>3090</v>
      </c>
      <c r="JF11" s="2"/>
      <c r="JG11" s="2"/>
      <c r="JH11" s="2" t="s">
        <v>2047</v>
      </c>
      <c r="JI11" s="2" t="s">
        <v>1254</v>
      </c>
      <c r="JJ11" s="2"/>
      <c r="JK11" s="2"/>
      <c r="JL11" s="2"/>
      <c r="JM11" s="2" t="s">
        <v>1051</v>
      </c>
      <c r="JN11" s="2"/>
      <c r="JO11" s="2"/>
      <c r="JP11" s="2"/>
      <c r="JQ11" s="2"/>
      <c r="JR11" s="2"/>
      <c r="JS11" s="2" t="s">
        <v>3104</v>
      </c>
      <c r="JT11" s="2" t="s">
        <v>551</v>
      </c>
      <c r="JU11" s="2" t="s">
        <v>3356</v>
      </c>
      <c r="JV11" s="2" t="s">
        <v>496</v>
      </c>
      <c r="JW11" s="2" t="s">
        <v>2540</v>
      </c>
      <c r="JX11" s="2" t="s">
        <v>2248</v>
      </c>
      <c r="JY11" s="2" t="s">
        <v>2580</v>
      </c>
      <c r="JZ11" s="2"/>
      <c r="KA11" s="2"/>
      <c r="KB11" s="2"/>
      <c r="KC11" s="2" t="s">
        <v>2876</v>
      </c>
      <c r="KD11" s="2"/>
      <c r="KE11" s="2"/>
      <c r="KF11" s="2"/>
      <c r="KG11" s="2"/>
      <c r="KH11" s="2" t="s">
        <v>3124</v>
      </c>
      <c r="KI11" s="2"/>
      <c r="KJ11" s="2"/>
      <c r="KK11" s="2"/>
      <c r="KL11" s="2" t="s">
        <v>1319</v>
      </c>
      <c r="KM11" s="2"/>
      <c r="KN11" s="2"/>
      <c r="KO11" s="2" t="s">
        <v>1431</v>
      </c>
      <c r="KP11" s="2"/>
      <c r="KQ11" s="2" t="s">
        <v>945</v>
      </c>
      <c r="KR11" s="2"/>
      <c r="KS11" s="2"/>
      <c r="KT11" s="2"/>
      <c r="KU11" s="2"/>
      <c r="KV11" s="2"/>
      <c r="KW11" s="2"/>
      <c r="KX11" s="2"/>
      <c r="KY11" s="2" t="s">
        <v>3043</v>
      </c>
      <c r="KZ11" s="2"/>
      <c r="LA11" s="2"/>
      <c r="LB11" s="2"/>
      <c r="LC11" s="2"/>
      <c r="LD11" s="2"/>
      <c r="LE11" s="2" t="s">
        <v>2121</v>
      </c>
      <c r="LF11" s="2"/>
      <c r="LG11" s="2" t="s">
        <v>2638</v>
      </c>
      <c r="LH11" s="2"/>
      <c r="LI11" s="2" t="s">
        <v>2394</v>
      </c>
      <c r="LJ11" s="2"/>
      <c r="LK11" s="2"/>
      <c r="LL11" s="2"/>
      <c r="LM11" s="2"/>
      <c r="LN11" s="2" t="s">
        <v>2475</v>
      </c>
      <c r="LO11" s="2"/>
      <c r="LP11" s="2"/>
      <c r="LQ11" s="2"/>
      <c r="LR11" s="2"/>
      <c r="LS11" s="2" t="s">
        <v>3150</v>
      </c>
      <c r="LT11" s="2" t="s">
        <v>3166</v>
      </c>
      <c r="LU11" s="2"/>
      <c r="LV11" s="2" t="s">
        <v>1508</v>
      </c>
      <c r="LW11" s="2"/>
    </row>
    <row r="12" spans="1:335">
      <c r="A12" s="2"/>
      <c r="B12" s="2" t="s">
        <v>2859</v>
      </c>
      <c r="C12" s="2" t="s">
        <v>1953</v>
      </c>
      <c r="D12" s="2"/>
      <c r="E12" s="2" t="s">
        <v>1535</v>
      </c>
      <c r="F12" s="2" t="s">
        <v>2100</v>
      </c>
      <c r="G12" s="2"/>
      <c r="H12" s="2"/>
      <c r="I12" s="2"/>
      <c r="J12" s="2" t="s">
        <v>1135</v>
      </c>
      <c r="K12" s="2" t="s">
        <v>2202</v>
      </c>
      <c r="L12" s="2"/>
      <c r="M12" s="2"/>
      <c r="N12" s="2"/>
      <c r="O12" s="2"/>
      <c r="P12" s="2" t="s">
        <v>1303</v>
      </c>
      <c r="Q12" s="2"/>
      <c r="R12" s="2"/>
      <c r="S12" s="2" t="s">
        <v>2980</v>
      </c>
      <c r="T12" s="2" t="s">
        <v>2031</v>
      </c>
      <c r="U12" s="2"/>
      <c r="V12" s="2"/>
      <c r="W12" s="2" t="s">
        <v>1559</v>
      </c>
      <c r="X12" s="2"/>
      <c r="Y12" s="2"/>
      <c r="Z12" s="2" t="s">
        <v>1574</v>
      </c>
      <c r="AA12" s="2" t="s">
        <v>611</v>
      </c>
      <c r="AB12" s="2"/>
      <c r="AC12" s="2"/>
      <c r="AD12" s="2"/>
      <c r="AE12" s="2"/>
      <c r="AF12" s="2"/>
      <c r="AG12" s="2"/>
      <c r="AH12" s="2"/>
      <c r="AI12" s="2"/>
      <c r="AJ12" s="2"/>
      <c r="AK12" s="2" t="s">
        <v>3075</v>
      </c>
      <c r="AL12" s="2"/>
      <c r="AM12" s="2" t="s">
        <v>193</v>
      </c>
      <c r="AN12" s="2"/>
      <c r="AO12" s="2"/>
      <c r="AP12" s="2" t="s">
        <v>1635</v>
      </c>
      <c r="AQ12" s="2"/>
      <c r="AR12" s="2" t="s">
        <v>2746</v>
      </c>
      <c r="AS12" s="2"/>
      <c r="AT12" s="2"/>
      <c r="AU12" s="2"/>
      <c r="AV12" s="2" t="s">
        <v>2353</v>
      </c>
      <c r="AW12" s="2"/>
      <c r="AX12" s="2"/>
      <c r="AY12" s="2"/>
      <c r="AZ12" s="2"/>
      <c r="BA12" s="2"/>
      <c r="BB12" s="2" t="s">
        <v>2066</v>
      </c>
      <c r="BC12" s="2"/>
      <c r="BD12" s="2"/>
      <c r="BE12" s="2" t="s">
        <v>1186</v>
      </c>
      <c r="BF12" s="2"/>
      <c r="BG12" s="2"/>
      <c r="BH12" s="2" t="s">
        <v>1283</v>
      </c>
      <c r="BI12" s="2"/>
      <c r="BJ12" s="2"/>
      <c r="BK12" s="2"/>
      <c r="BL12" s="2" t="s">
        <v>3408</v>
      </c>
      <c r="BM12" s="2"/>
      <c r="BN12" s="2" t="s">
        <v>1490</v>
      </c>
      <c r="BO12" s="2" t="s">
        <v>437</v>
      </c>
      <c r="BP12" s="2"/>
      <c r="BQ12" s="2"/>
      <c r="BR12" s="2" t="s">
        <v>3683</v>
      </c>
      <c r="BS12" s="2"/>
      <c r="BT12" s="2"/>
      <c r="BU12" s="2"/>
      <c r="BV12" s="2"/>
      <c r="BW12" s="2"/>
      <c r="BX12" s="2" t="s">
        <v>907</v>
      </c>
      <c r="BY12" s="2"/>
      <c r="BZ12" s="2" t="s">
        <v>3284</v>
      </c>
      <c r="CA12" s="2"/>
      <c r="CB12" s="2"/>
      <c r="CC12" s="2" t="s">
        <v>283</v>
      </c>
      <c r="CD12" s="2"/>
      <c r="CE12" s="2"/>
      <c r="CF12" s="2"/>
      <c r="CG12" s="2"/>
      <c r="CH12" s="2"/>
      <c r="CI12" s="2" t="s">
        <v>1751</v>
      </c>
      <c r="CJ12" s="2" t="s">
        <v>1864</v>
      </c>
      <c r="CK12" s="2"/>
      <c r="CL12" s="2"/>
      <c r="CM12" s="2"/>
      <c r="CN12" s="2"/>
      <c r="CO12" s="2"/>
      <c r="CP12" s="2" t="s">
        <v>2431</v>
      </c>
      <c r="CQ12" s="2"/>
      <c r="CR12" s="2" t="s">
        <v>3396</v>
      </c>
      <c r="CS12" s="2"/>
      <c r="CT12" s="2"/>
      <c r="CU12" s="2"/>
      <c r="CV12" s="2" t="s">
        <v>3327</v>
      </c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 t="s">
        <v>2627</v>
      </c>
      <c r="DJ12" s="2"/>
      <c r="DK12" s="2"/>
      <c r="DL12" s="2" t="s">
        <v>3433</v>
      </c>
      <c r="DM12" s="2"/>
      <c r="DN12" s="2"/>
      <c r="DO12" s="2" t="s">
        <v>683</v>
      </c>
      <c r="DP12" s="2"/>
      <c r="DQ12" s="2"/>
      <c r="DR12" s="2" t="s">
        <v>1655</v>
      </c>
      <c r="DS12" s="2"/>
      <c r="DT12" s="2" t="s">
        <v>2214</v>
      </c>
      <c r="DU12" s="2"/>
      <c r="DV12" s="2" t="s">
        <v>1093</v>
      </c>
      <c r="DW12" s="2" t="s">
        <v>2603</v>
      </c>
      <c r="DX12" s="2"/>
      <c r="DY12" s="2"/>
      <c r="DZ12" s="2"/>
      <c r="EA12" s="2"/>
      <c r="EB12" s="2" t="s">
        <v>20</v>
      </c>
      <c r="EC12" s="2"/>
      <c r="ED12" s="2" t="s">
        <v>734</v>
      </c>
      <c r="EE12" s="2" t="s">
        <v>2089</v>
      </c>
      <c r="EF12" s="2"/>
      <c r="EG12" s="2"/>
      <c r="EH12" s="2"/>
      <c r="EI12" s="2"/>
      <c r="EJ12" s="2"/>
      <c r="EK12" s="2" t="s">
        <v>2306</v>
      </c>
      <c r="EL12" s="2"/>
      <c r="EM12" s="2"/>
      <c r="EN12" s="2" t="s">
        <v>3339</v>
      </c>
      <c r="EO12" s="2"/>
      <c r="EP12" s="2" t="s">
        <v>3179</v>
      </c>
      <c r="EQ12" s="2"/>
      <c r="ER12" s="2" t="s">
        <v>3316</v>
      </c>
      <c r="ES12" s="2" t="s">
        <v>3216</v>
      </c>
      <c r="ET12" s="2" t="s">
        <v>1021</v>
      </c>
      <c r="EU12" s="2"/>
      <c r="EV12" s="2"/>
      <c r="EW12" s="2"/>
      <c r="EX12" s="2"/>
      <c r="EY12" s="2"/>
      <c r="EZ12" s="2"/>
      <c r="FA12" s="2"/>
      <c r="FB12" s="2" t="s">
        <v>1738</v>
      </c>
      <c r="FC12" s="2"/>
      <c r="FD12" s="2"/>
      <c r="FE12" s="2"/>
      <c r="FF12" s="2"/>
      <c r="FG12" s="2"/>
      <c r="FH12" s="2"/>
      <c r="FI12" s="2" t="s">
        <v>2768</v>
      </c>
      <c r="FJ12" s="2"/>
      <c r="FK12" s="2"/>
      <c r="FL12" s="2"/>
      <c r="FM12" s="2" t="s">
        <v>3457</v>
      </c>
      <c r="FN12" s="2"/>
      <c r="FO12" s="2" t="s">
        <v>2404</v>
      </c>
      <c r="FP12" s="2"/>
      <c r="FQ12" s="2" t="s">
        <v>2592</v>
      </c>
      <c r="FR12" s="2" t="s">
        <v>3446</v>
      </c>
      <c r="FS12" s="2"/>
      <c r="FT12" s="2"/>
      <c r="FU12" s="2"/>
      <c r="FV12" s="2"/>
      <c r="FW12" s="2" t="s">
        <v>1334</v>
      </c>
      <c r="FX12" s="2" t="s">
        <v>766</v>
      </c>
      <c r="FY12" s="2" t="s">
        <v>2831</v>
      </c>
      <c r="FZ12" s="2"/>
      <c r="GA12" s="2" t="s">
        <v>1965</v>
      </c>
      <c r="GB12" s="2"/>
      <c r="GC12" s="2"/>
      <c r="GD12" s="2"/>
      <c r="GE12" s="2" t="s">
        <v>2268</v>
      </c>
      <c r="GF12" s="2"/>
      <c r="GG12" s="2" t="s">
        <v>2175</v>
      </c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 t="s">
        <v>1762</v>
      </c>
      <c r="GT12" s="2" t="s">
        <v>3422</v>
      </c>
      <c r="GU12" s="2"/>
      <c r="GV12" s="2"/>
      <c r="GW12" s="2"/>
      <c r="GX12" s="2"/>
      <c r="GY12" s="2"/>
      <c r="GZ12" s="2"/>
      <c r="HA12" s="2"/>
      <c r="HB12" s="2" t="s">
        <v>1977</v>
      </c>
      <c r="HC12" s="2" t="s">
        <v>2164</v>
      </c>
      <c r="HD12" s="2"/>
      <c r="HE12" s="2"/>
      <c r="HF12" s="2" t="s">
        <v>2152</v>
      </c>
      <c r="HG12" s="2" t="s">
        <v>2318</v>
      </c>
      <c r="HH12" s="2"/>
      <c r="HI12" s="2"/>
      <c r="HJ12" s="2"/>
      <c r="HK12" s="2"/>
      <c r="HL12" s="2"/>
      <c r="HM12" s="2"/>
      <c r="HN12" s="2" t="s">
        <v>3057</v>
      </c>
      <c r="HO12" s="2"/>
      <c r="HP12" s="2"/>
      <c r="HQ12" s="2"/>
      <c r="HR12" s="2" t="s">
        <v>2815</v>
      </c>
      <c r="HS12" s="2"/>
      <c r="HT12" s="2"/>
      <c r="HU12" s="2"/>
      <c r="HV12" s="2"/>
      <c r="HW12" s="2"/>
      <c r="HX12" s="2" t="s">
        <v>359</v>
      </c>
      <c r="HY12" s="2"/>
      <c r="HZ12" s="2" t="s">
        <v>1929</v>
      </c>
      <c r="IA12" s="2"/>
      <c r="IB12" s="2" t="s">
        <v>3260</v>
      </c>
      <c r="IC12" s="2"/>
      <c r="ID12" s="2"/>
      <c r="IE12" s="2"/>
      <c r="IF12" s="2"/>
      <c r="IG12" s="2"/>
      <c r="IH12" s="2"/>
      <c r="II12" s="2"/>
      <c r="IJ12" s="2"/>
      <c r="IK12" s="2" t="s">
        <v>1673</v>
      </c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 t="s">
        <v>844</v>
      </c>
      <c r="IW12" s="2" t="s">
        <v>2529</v>
      </c>
      <c r="IX12" s="2"/>
      <c r="IY12" s="2"/>
      <c r="IZ12" s="2"/>
      <c r="JA12" s="2"/>
      <c r="JB12" s="2" t="s">
        <v>3379</v>
      </c>
      <c r="JC12" s="2"/>
      <c r="JD12" s="2"/>
      <c r="JE12" s="2"/>
      <c r="JF12" s="2"/>
      <c r="JG12" s="2"/>
      <c r="JH12" s="2" t="s">
        <v>2048</v>
      </c>
      <c r="JI12" s="2" t="s">
        <v>1255</v>
      </c>
      <c r="JJ12" s="2"/>
      <c r="JK12" s="2"/>
      <c r="JL12" s="2"/>
      <c r="JM12" s="2" t="s">
        <v>1054</v>
      </c>
      <c r="JN12" s="2"/>
      <c r="JO12" s="2"/>
      <c r="JP12" s="2"/>
      <c r="JQ12" s="2"/>
      <c r="JR12" s="2"/>
      <c r="JS12" s="2" t="s">
        <v>3105</v>
      </c>
      <c r="JT12" s="2" t="s">
        <v>554</v>
      </c>
      <c r="JU12" s="2"/>
      <c r="JV12" s="2" t="s">
        <v>499</v>
      </c>
      <c r="JW12" s="2" t="s">
        <v>2541</v>
      </c>
      <c r="JX12" s="2" t="s">
        <v>2249</v>
      </c>
      <c r="JY12" s="2" t="s">
        <v>2581</v>
      </c>
      <c r="JZ12" s="2"/>
      <c r="KA12" s="2"/>
      <c r="KB12" s="2"/>
      <c r="KC12" s="2" t="s">
        <v>704</v>
      </c>
      <c r="KD12" s="2"/>
      <c r="KE12" s="2"/>
      <c r="KF12" s="2"/>
      <c r="KG12" s="2"/>
      <c r="KH12" s="2"/>
      <c r="KI12" s="2"/>
      <c r="KJ12" s="2"/>
      <c r="KK12" s="2"/>
      <c r="KL12" s="2" t="s">
        <v>1320</v>
      </c>
      <c r="KM12" s="2"/>
      <c r="KN12" s="2"/>
      <c r="KO12" s="2"/>
      <c r="KP12" s="2"/>
      <c r="KQ12" s="2" t="s">
        <v>948</v>
      </c>
      <c r="KR12" s="2"/>
      <c r="KS12" s="2"/>
      <c r="KT12" s="2"/>
      <c r="KU12" s="2"/>
      <c r="KV12" s="2"/>
      <c r="KW12" s="2"/>
      <c r="KX12" s="2"/>
      <c r="KY12" s="2" t="s">
        <v>3044</v>
      </c>
      <c r="KZ12" s="2"/>
      <c r="LA12" s="2"/>
      <c r="LB12" s="2"/>
      <c r="LC12" s="2"/>
      <c r="LD12" s="2"/>
      <c r="LE12" s="2" t="s">
        <v>2122</v>
      </c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 t="s">
        <v>3151</v>
      </c>
      <c r="LT12" s="2" t="s">
        <v>3167</v>
      </c>
      <c r="LU12" s="2"/>
      <c r="LV12" s="2" t="s">
        <v>1509</v>
      </c>
      <c r="LW12" s="2"/>
    </row>
    <row r="13" spans="1:335">
      <c r="A13" s="2"/>
      <c r="B13" s="2" t="s">
        <v>2860</v>
      </c>
      <c r="C13" s="2" t="s">
        <v>1954</v>
      </c>
      <c r="D13" s="2"/>
      <c r="E13" s="2" t="s">
        <v>1617</v>
      </c>
      <c r="F13" s="2" t="s">
        <v>2101</v>
      </c>
      <c r="G13" s="2"/>
      <c r="H13" s="2"/>
      <c r="I13" s="2"/>
      <c r="J13" s="2" t="s">
        <v>1138</v>
      </c>
      <c r="K13" s="2" t="s">
        <v>2203</v>
      </c>
      <c r="L13" s="2"/>
      <c r="M13" s="2"/>
      <c r="N13" s="2"/>
      <c r="O13" s="2"/>
      <c r="P13" s="2"/>
      <c r="Q13" s="2"/>
      <c r="R13" s="2"/>
      <c r="S13" s="2"/>
      <c r="T13" s="2" t="s">
        <v>2032</v>
      </c>
      <c r="U13" s="2"/>
      <c r="V13" s="2"/>
      <c r="W13" s="2" t="s">
        <v>1560</v>
      </c>
      <c r="X13" s="2"/>
      <c r="Y13" s="2"/>
      <c r="Z13" s="2"/>
      <c r="AA13" s="2" t="s">
        <v>614</v>
      </c>
      <c r="AB13" s="2"/>
      <c r="AC13" s="2"/>
      <c r="AD13" s="2"/>
      <c r="AE13" s="2"/>
      <c r="AF13" s="2"/>
      <c r="AG13" s="2"/>
      <c r="AH13" s="2"/>
      <c r="AI13" s="2"/>
      <c r="AJ13" s="2"/>
      <c r="AK13" s="2" t="s">
        <v>3076</v>
      </c>
      <c r="AL13" s="2"/>
      <c r="AM13" s="2" t="s">
        <v>198</v>
      </c>
      <c r="AN13" s="2"/>
      <c r="AO13" s="2"/>
      <c r="AP13" s="2" t="s">
        <v>1636</v>
      </c>
      <c r="AQ13" s="2"/>
      <c r="AR13" s="2" t="s">
        <v>2747</v>
      </c>
      <c r="AS13" s="2"/>
      <c r="AT13" s="2"/>
      <c r="AU13" s="2"/>
      <c r="AV13" s="2" t="s">
        <v>2354</v>
      </c>
      <c r="AW13" s="2"/>
      <c r="AX13" s="2"/>
      <c r="AY13" s="2"/>
      <c r="AZ13" s="2"/>
      <c r="BA13" s="2"/>
      <c r="BB13" s="2" t="s">
        <v>2067</v>
      </c>
      <c r="BC13" s="2"/>
      <c r="BD13" s="2"/>
      <c r="BE13" s="2" t="s">
        <v>1189</v>
      </c>
      <c r="BF13" s="2"/>
      <c r="BG13" s="2"/>
      <c r="BH13" s="2" t="s">
        <v>1284</v>
      </c>
      <c r="BI13" s="2"/>
      <c r="BJ13" s="2"/>
      <c r="BK13" s="2"/>
      <c r="BL13" s="2" t="s">
        <v>3409</v>
      </c>
      <c r="BM13" s="2"/>
      <c r="BN13" s="2" t="s">
        <v>1491</v>
      </c>
      <c r="BO13" s="2" t="s">
        <v>440</v>
      </c>
      <c r="BP13" s="2"/>
      <c r="BQ13" s="2"/>
      <c r="BR13" s="2" t="s">
        <v>3684</v>
      </c>
      <c r="BS13" s="2"/>
      <c r="BT13" s="2"/>
      <c r="BU13" s="2"/>
      <c r="BV13" s="2"/>
      <c r="BW13" s="2"/>
      <c r="BX13" s="2"/>
      <c r="BY13" s="2"/>
      <c r="BZ13" s="2" t="s">
        <v>3285</v>
      </c>
      <c r="CA13" s="2"/>
      <c r="CB13" s="2"/>
      <c r="CC13" s="2" t="s">
        <v>288</v>
      </c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 t="s">
        <v>2432</v>
      </c>
      <c r="CQ13" s="2"/>
      <c r="CR13" s="2" t="s">
        <v>3397</v>
      </c>
      <c r="CS13" s="2"/>
      <c r="CT13" s="2"/>
      <c r="CU13" s="2"/>
      <c r="CV13" s="2" t="s">
        <v>3328</v>
      </c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 t="s">
        <v>2628</v>
      </c>
      <c r="DJ13" s="2"/>
      <c r="DK13" s="2"/>
      <c r="DL13" s="2" t="s">
        <v>3434</v>
      </c>
      <c r="DM13" s="2"/>
      <c r="DN13" s="2"/>
      <c r="DO13" s="2" t="s">
        <v>686</v>
      </c>
      <c r="DP13" s="2"/>
      <c r="DQ13" s="2"/>
      <c r="DR13" s="2"/>
      <c r="DS13" s="2"/>
      <c r="DT13" s="2"/>
      <c r="DU13" s="2"/>
      <c r="DV13" s="2" t="s">
        <v>1096</v>
      </c>
      <c r="DW13" s="2" t="s">
        <v>2604</v>
      </c>
      <c r="DX13" s="2"/>
      <c r="DY13" s="2"/>
      <c r="DZ13" s="2"/>
      <c r="EA13" s="2"/>
      <c r="EB13" s="2" t="s">
        <v>2916</v>
      </c>
      <c r="EC13" s="2"/>
      <c r="ED13" s="2"/>
      <c r="EE13" s="2"/>
      <c r="EF13" s="2"/>
      <c r="EG13" s="2"/>
      <c r="EH13" s="2"/>
      <c r="EI13" s="2"/>
      <c r="EJ13" s="2"/>
      <c r="EK13" s="2" t="s">
        <v>2307</v>
      </c>
      <c r="EL13" s="2"/>
      <c r="EM13" s="2"/>
      <c r="EN13" s="2" t="s">
        <v>3340</v>
      </c>
      <c r="EO13" s="2"/>
      <c r="EP13" s="2" t="s">
        <v>3180</v>
      </c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 t="s">
        <v>1739</v>
      </c>
      <c r="FC13" s="2"/>
      <c r="FD13" s="2"/>
      <c r="FE13" s="2"/>
      <c r="FF13" s="2"/>
      <c r="FG13" s="2"/>
      <c r="FH13" s="2"/>
      <c r="FI13" s="2" t="s">
        <v>2769</v>
      </c>
      <c r="FJ13" s="2"/>
      <c r="FK13" s="2"/>
      <c r="FL13" s="2"/>
      <c r="FM13" s="2" t="s">
        <v>3458</v>
      </c>
      <c r="FN13" s="2"/>
      <c r="FO13" s="2" t="s">
        <v>2405</v>
      </c>
      <c r="FP13" s="2"/>
      <c r="FQ13" s="2"/>
      <c r="FR13" s="2"/>
      <c r="FS13" s="2"/>
      <c r="FT13" s="2"/>
      <c r="FU13" s="2"/>
      <c r="FV13" s="2"/>
      <c r="FW13" s="2" t="s">
        <v>1335</v>
      </c>
      <c r="FX13" s="2" t="s">
        <v>769</v>
      </c>
      <c r="FY13" s="2"/>
      <c r="FZ13" s="2"/>
      <c r="GA13" s="2" t="s">
        <v>1966</v>
      </c>
      <c r="GB13" s="2"/>
      <c r="GC13" s="2"/>
      <c r="GD13" s="2"/>
      <c r="GE13" s="2" t="s">
        <v>2269</v>
      </c>
      <c r="GF13" s="2"/>
      <c r="GG13" s="2" t="s">
        <v>2176</v>
      </c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 t="s">
        <v>2165</v>
      </c>
      <c r="HD13" s="2"/>
      <c r="HE13" s="2"/>
      <c r="HF13" s="2" t="s">
        <v>2153</v>
      </c>
      <c r="HG13" s="2"/>
      <c r="HH13" s="2"/>
      <c r="HI13" s="2"/>
      <c r="HJ13" s="2"/>
      <c r="HK13" s="2"/>
      <c r="HL13" s="2"/>
      <c r="HM13" s="2"/>
      <c r="HN13" s="2" t="s">
        <v>3058</v>
      </c>
      <c r="HO13" s="2"/>
      <c r="HP13" s="2"/>
      <c r="HQ13" s="2"/>
      <c r="HR13" s="2" t="s">
        <v>2816</v>
      </c>
      <c r="HS13" s="2"/>
      <c r="HT13" s="2"/>
      <c r="HU13" s="2"/>
      <c r="HV13" s="2"/>
      <c r="HW13" s="2"/>
      <c r="HX13" s="2" t="s">
        <v>363</v>
      </c>
      <c r="HY13" s="2"/>
      <c r="HZ13" s="2" t="s">
        <v>1930</v>
      </c>
      <c r="IA13" s="2"/>
      <c r="IB13" s="2" t="s">
        <v>3261</v>
      </c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 t="s">
        <v>2530</v>
      </c>
      <c r="IX13" s="2"/>
      <c r="IY13" s="2"/>
      <c r="IZ13" s="2"/>
      <c r="JA13" s="2"/>
      <c r="JB13" s="2" t="s">
        <v>3380</v>
      </c>
      <c r="JC13" s="2"/>
      <c r="JD13" s="2"/>
      <c r="JE13" s="2"/>
      <c r="JF13" s="2"/>
      <c r="JG13" s="2"/>
      <c r="JH13" s="2" t="s">
        <v>2049</v>
      </c>
      <c r="JI13" s="2" t="s">
        <v>1256</v>
      </c>
      <c r="JJ13" s="2"/>
      <c r="JK13" s="2"/>
      <c r="JL13" s="2"/>
      <c r="JM13" s="2" t="s">
        <v>1057</v>
      </c>
      <c r="JN13" s="2"/>
      <c r="JO13" s="2"/>
      <c r="JP13" s="2"/>
      <c r="JQ13" s="2"/>
      <c r="JR13" s="2"/>
      <c r="JS13" s="2" t="s">
        <v>3106</v>
      </c>
      <c r="JT13" s="2" t="s">
        <v>557</v>
      </c>
      <c r="JU13" s="2"/>
      <c r="JV13" s="2" t="s">
        <v>502</v>
      </c>
      <c r="JW13" s="2" t="s">
        <v>2542</v>
      </c>
      <c r="JX13" s="2" t="s">
        <v>2250</v>
      </c>
      <c r="JY13" s="2"/>
      <c r="JZ13" s="2"/>
      <c r="KA13" s="2"/>
      <c r="KB13" s="2"/>
      <c r="KC13" s="2" t="s">
        <v>2877</v>
      </c>
      <c r="KD13" s="2"/>
      <c r="KE13" s="2"/>
      <c r="KF13" s="2"/>
      <c r="KG13" s="2"/>
      <c r="KH13" s="2"/>
      <c r="KI13" s="2"/>
      <c r="KJ13" s="2"/>
      <c r="KK13" s="2"/>
      <c r="KL13" s="2" t="s">
        <v>1321</v>
      </c>
      <c r="KM13" s="2"/>
      <c r="KN13" s="2"/>
      <c r="KO13" s="2"/>
      <c r="KP13" s="2"/>
      <c r="KQ13" s="2" t="s">
        <v>951</v>
      </c>
      <c r="KR13" s="2"/>
      <c r="KS13" s="2"/>
      <c r="KT13" s="2"/>
      <c r="KU13" s="2"/>
      <c r="KV13" s="2"/>
      <c r="KW13" s="2"/>
      <c r="KX13" s="2"/>
      <c r="KY13" s="2" t="s">
        <v>3045</v>
      </c>
      <c r="KZ13" s="2"/>
      <c r="LA13" s="2"/>
      <c r="LB13" s="2"/>
      <c r="LC13" s="2"/>
      <c r="LD13" s="2"/>
      <c r="LE13" s="2" t="s">
        <v>2123</v>
      </c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 t="s">
        <v>3152</v>
      </c>
      <c r="LT13" s="2" t="s">
        <v>3168</v>
      </c>
      <c r="LU13" s="2"/>
      <c r="LV13" s="2" t="s">
        <v>1510</v>
      </c>
      <c r="LW13" s="2"/>
    </row>
    <row r="14" spans="1:335">
      <c r="A14" s="2"/>
      <c r="B14" s="2" t="s">
        <v>2861</v>
      </c>
      <c r="C14" s="2"/>
      <c r="D14" s="2"/>
      <c r="E14" s="2" t="s">
        <v>1618</v>
      </c>
      <c r="F14" s="2"/>
      <c r="G14" s="2"/>
      <c r="H14" s="2"/>
      <c r="I14" s="2"/>
      <c r="J14" s="2" t="s">
        <v>1141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 t="s">
        <v>1561</v>
      </c>
      <c r="X14" s="2"/>
      <c r="Y14" s="2"/>
      <c r="Z14" s="2"/>
      <c r="AA14" s="2" t="s">
        <v>617</v>
      </c>
      <c r="AB14" s="2"/>
      <c r="AC14" s="2"/>
      <c r="AD14" s="2"/>
      <c r="AE14" s="2"/>
      <c r="AF14" s="2"/>
      <c r="AG14" s="2"/>
      <c r="AH14" s="2"/>
      <c r="AI14" s="2"/>
      <c r="AJ14" s="2"/>
      <c r="AK14" s="2" t="s">
        <v>3077</v>
      </c>
      <c r="AL14" s="2"/>
      <c r="AM14" s="2" t="s">
        <v>204</v>
      </c>
      <c r="AN14" s="2"/>
      <c r="AO14" s="2"/>
      <c r="AP14" s="2" t="s">
        <v>1637</v>
      </c>
      <c r="AQ14" s="2"/>
      <c r="AR14" s="2"/>
      <c r="AS14" s="2"/>
      <c r="AT14" s="2"/>
      <c r="AU14" s="2"/>
      <c r="AV14" s="2" t="s">
        <v>2355</v>
      </c>
      <c r="AW14" s="2"/>
      <c r="AX14" s="2"/>
      <c r="AY14" s="2"/>
      <c r="AZ14" s="2"/>
      <c r="BA14" s="2"/>
      <c r="BB14" s="2" t="s">
        <v>2068</v>
      </c>
      <c r="BC14" s="2"/>
      <c r="BD14" s="2"/>
      <c r="BE14" s="2" t="s">
        <v>1192</v>
      </c>
      <c r="BF14" s="2"/>
      <c r="BG14" s="2"/>
      <c r="BH14" s="2" t="s">
        <v>1285</v>
      </c>
      <c r="BI14" s="2"/>
      <c r="BJ14" s="2"/>
      <c r="BK14" s="2"/>
      <c r="BL14" s="2" t="s">
        <v>3410</v>
      </c>
      <c r="BM14" s="2"/>
      <c r="BN14" s="2" t="s">
        <v>1492</v>
      </c>
      <c r="BO14" s="2" t="s">
        <v>443</v>
      </c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 t="s">
        <v>293</v>
      </c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 t="s">
        <v>2433</v>
      </c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 t="s">
        <v>3435</v>
      </c>
      <c r="DM14" s="2"/>
      <c r="DN14" s="2"/>
      <c r="DO14" s="2" t="s">
        <v>689</v>
      </c>
      <c r="DP14" s="2"/>
      <c r="DQ14" s="2"/>
      <c r="DR14" s="2"/>
      <c r="DS14" s="2"/>
      <c r="DT14" s="2"/>
      <c r="DU14" s="2"/>
      <c r="DV14" s="2" t="s">
        <v>1099</v>
      </c>
      <c r="DW14" s="2"/>
      <c r="DX14" s="2"/>
      <c r="DY14" s="2"/>
      <c r="DZ14" s="2"/>
      <c r="EA14" s="2"/>
      <c r="EB14" s="2" t="s">
        <v>2917</v>
      </c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 t="s">
        <v>3341</v>
      </c>
      <c r="EO14" s="2"/>
      <c r="EP14" s="2" t="s">
        <v>3181</v>
      </c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 t="s">
        <v>1740</v>
      </c>
      <c r="FC14" s="2"/>
      <c r="FD14" s="2"/>
      <c r="FE14" s="2"/>
      <c r="FF14" s="2"/>
      <c r="FG14" s="2"/>
      <c r="FH14" s="2"/>
      <c r="FI14" s="2" t="s">
        <v>2770</v>
      </c>
      <c r="FJ14" s="2"/>
      <c r="FK14" s="2"/>
      <c r="FL14" s="2"/>
      <c r="FM14" s="2"/>
      <c r="FN14" s="2"/>
      <c r="FO14" s="2" t="s">
        <v>2406</v>
      </c>
      <c r="FP14" s="2"/>
      <c r="FQ14" s="2"/>
      <c r="FR14" s="2"/>
      <c r="FS14" s="2"/>
      <c r="FT14" s="2"/>
      <c r="FU14" s="2"/>
      <c r="FV14" s="2"/>
      <c r="FW14" s="2" t="s">
        <v>1336</v>
      </c>
      <c r="FX14" s="2" t="s">
        <v>772</v>
      </c>
      <c r="FY14" s="2"/>
      <c r="FZ14" s="2"/>
      <c r="GA14" s="2"/>
      <c r="GB14" s="2"/>
      <c r="GC14" s="2"/>
      <c r="GD14" s="2"/>
      <c r="GE14" s="2" t="s">
        <v>2270</v>
      </c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 t="s">
        <v>3059</v>
      </c>
      <c r="HO14" s="2"/>
      <c r="HP14" s="2"/>
      <c r="HQ14" s="2"/>
      <c r="HR14" s="2"/>
      <c r="HS14" s="2"/>
      <c r="HT14" s="2"/>
      <c r="HU14" s="2"/>
      <c r="HV14" s="2"/>
      <c r="HW14" s="2"/>
      <c r="HX14" s="2" t="s">
        <v>367</v>
      </c>
      <c r="HY14" s="2"/>
      <c r="HZ14" s="2" t="s">
        <v>1931</v>
      </c>
      <c r="IA14" s="2"/>
      <c r="IB14" s="2" t="s">
        <v>3262</v>
      </c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 t="s">
        <v>3381</v>
      </c>
      <c r="JC14" s="2"/>
      <c r="JD14" s="2"/>
      <c r="JE14" s="2"/>
      <c r="JF14" s="2"/>
      <c r="JG14" s="2"/>
      <c r="JH14" s="2" t="s">
        <v>2050</v>
      </c>
      <c r="JI14" s="2"/>
      <c r="JJ14" s="2"/>
      <c r="JK14" s="2"/>
      <c r="JL14" s="2"/>
      <c r="JM14" s="2" t="s">
        <v>1060</v>
      </c>
      <c r="JN14" s="2"/>
      <c r="JO14" s="2"/>
      <c r="JP14" s="2"/>
      <c r="JQ14" s="2"/>
      <c r="JR14" s="2"/>
      <c r="JS14" s="2" t="s">
        <v>3107</v>
      </c>
      <c r="JT14" s="2" t="s">
        <v>560</v>
      </c>
      <c r="JU14" s="2"/>
      <c r="JV14" s="2" t="s">
        <v>505</v>
      </c>
      <c r="JW14" s="2"/>
      <c r="JX14" s="2"/>
      <c r="JY14" s="2"/>
      <c r="JZ14" s="2"/>
      <c r="KA14" s="2"/>
      <c r="KB14" s="2"/>
      <c r="KC14" s="2" t="s">
        <v>2878</v>
      </c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 t="s">
        <v>954</v>
      </c>
      <c r="KR14" s="2"/>
      <c r="KS14" s="2"/>
      <c r="KT14" s="2"/>
      <c r="KU14" s="2"/>
      <c r="KV14" s="2"/>
      <c r="KW14" s="2"/>
      <c r="KX14" s="2"/>
      <c r="KY14" s="2" t="s">
        <v>3046</v>
      </c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 t="s">
        <v>3153</v>
      </c>
      <c r="LT14" s="2"/>
      <c r="LU14" s="2"/>
      <c r="LV14" s="2" t="s">
        <v>1511</v>
      </c>
      <c r="LW14" s="2"/>
    </row>
    <row r="15" spans="1:335">
      <c r="A15" s="2"/>
      <c r="B15" s="2" t="s">
        <v>2862</v>
      </c>
      <c r="C15" s="2"/>
      <c r="D15" s="2"/>
      <c r="E15" s="2" t="s">
        <v>1619</v>
      </c>
      <c r="F15" s="2"/>
      <c r="G15" s="2"/>
      <c r="H15" s="2"/>
      <c r="I15" s="2"/>
      <c r="J15" s="2" t="s">
        <v>1144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 t="s">
        <v>1562</v>
      </c>
      <c r="X15" s="2"/>
      <c r="Y15" s="2"/>
      <c r="Z15" s="2"/>
      <c r="AA15" s="2" t="s">
        <v>620</v>
      </c>
      <c r="AB15" s="2"/>
      <c r="AC15" s="2"/>
      <c r="AD15" s="2"/>
      <c r="AE15" s="2"/>
      <c r="AF15" s="2"/>
      <c r="AG15" s="2"/>
      <c r="AH15" s="2"/>
      <c r="AI15" s="2"/>
      <c r="AJ15" s="2"/>
      <c r="AK15" s="2" t="s">
        <v>3078</v>
      </c>
      <c r="AL15" s="2"/>
      <c r="AM15" s="2" t="s">
        <v>209</v>
      </c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 t="s">
        <v>3411</v>
      </c>
      <c r="BM15" s="2"/>
      <c r="BN15" s="2" t="s">
        <v>1493</v>
      </c>
      <c r="BO15" s="2" t="s">
        <v>445</v>
      </c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 t="s">
        <v>298</v>
      </c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 t="s">
        <v>692</v>
      </c>
      <c r="DP15" s="2"/>
      <c r="DQ15" s="2"/>
      <c r="DR15" s="2"/>
      <c r="DS15" s="2"/>
      <c r="DT15" s="2"/>
      <c r="DU15" s="2"/>
      <c r="DV15" s="2" t="s">
        <v>1102</v>
      </c>
      <c r="DW15" s="2"/>
      <c r="DX15" s="2"/>
      <c r="DY15" s="2"/>
      <c r="DZ15" s="2"/>
      <c r="EA15" s="2"/>
      <c r="EB15" s="2" t="s">
        <v>2918</v>
      </c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 t="s">
        <v>3342</v>
      </c>
      <c r="EO15" s="2"/>
      <c r="EP15" s="2" t="s">
        <v>3182</v>
      </c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 t="s">
        <v>2771</v>
      </c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 t="s">
        <v>775</v>
      </c>
      <c r="FY15" s="2"/>
      <c r="FZ15" s="2"/>
      <c r="GA15" s="2"/>
      <c r="GB15" s="2"/>
      <c r="GC15" s="2"/>
      <c r="GD15" s="2"/>
      <c r="GE15" s="2" t="s">
        <v>2271</v>
      </c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 t="s">
        <v>3060</v>
      </c>
      <c r="HO15" s="2"/>
      <c r="HP15" s="2"/>
      <c r="HQ15" s="2"/>
      <c r="HR15" s="2"/>
      <c r="HS15" s="2"/>
      <c r="HT15" s="2"/>
      <c r="HU15" s="2"/>
      <c r="HV15" s="2"/>
      <c r="HW15" s="2"/>
      <c r="HX15" s="2" t="s">
        <v>371</v>
      </c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 t="s">
        <v>2051</v>
      </c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 t="s">
        <v>3108</v>
      </c>
      <c r="JT15" s="2" t="s">
        <v>563</v>
      </c>
      <c r="JU15" s="2"/>
      <c r="JV15" s="2" t="s">
        <v>508</v>
      </c>
      <c r="JW15" s="2"/>
      <c r="JX15" s="2"/>
      <c r="JY15" s="2"/>
      <c r="JZ15" s="2"/>
      <c r="KA15" s="2"/>
      <c r="KB15" s="2"/>
      <c r="KC15" s="2" t="s">
        <v>2879</v>
      </c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 t="s">
        <v>3154</v>
      </c>
      <c r="LT15" s="2"/>
      <c r="LU15" s="2"/>
      <c r="LV15" s="2" t="s">
        <v>1512</v>
      </c>
      <c r="LW15" s="2"/>
    </row>
    <row r="16" spans="1:335">
      <c r="A16" s="2"/>
      <c r="B16" s="2" t="s">
        <v>2863</v>
      </c>
      <c r="C16" s="2"/>
      <c r="D16" s="2"/>
      <c r="E16" s="2" t="s">
        <v>1620</v>
      </c>
      <c r="F16" s="2"/>
      <c r="G16" s="2"/>
      <c r="H16" s="2"/>
      <c r="I16" s="2"/>
      <c r="J16" s="2" t="s">
        <v>1147</v>
      </c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 t="s">
        <v>1563</v>
      </c>
      <c r="X16" s="2"/>
      <c r="Y16" s="2"/>
      <c r="Z16" s="2"/>
      <c r="AA16" s="2" t="s">
        <v>623</v>
      </c>
      <c r="AB16" s="2"/>
      <c r="AC16" s="2"/>
      <c r="AD16" s="2"/>
      <c r="AE16" s="2"/>
      <c r="AF16" s="2"/>
      <c r="AG16" s="2"/>
      <c r="AH16" s="2"/>
      <c r="AI16" s="2"/>
      <c r="AJ16" s="2"/>
      <c r="AK16" s="2" t="s">
        <v>3079</v>
      </c>
      <c r="AL16" s="2"/>
      <c r="AM16" s="2" t="s">
        <v>214</v>
      </c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 t="s">
        <v>1494</v>
      </c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 t="s">
        <v>303</v>
      </c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 t="s">
        <v>695</v>
      </c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 t="s">
        <v>2919</v>
      </c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 t="s">
        <v>3343</v>
      </c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 t="s">
        <v>2772</v>
      </c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 t="s">
        <v>778</v>
      </c>
      <c r="FY16" s="2"/>
      <c r="FZ16" s="2"/>
      <c r="GA16" s="2"/>
      <c r="GB16" s="2"/>
      <c r="GC16" s="2"/>
      <c r="GD16" s="2"/>
      <c r="GE16" s="2" t="s">
        <v>2272</v>
      </c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 t="s">
        <v>3061</v>
      </c>
      <c r="HO16" s="2"/>
      <c r="HP16" s="2"/>
      <c r="HQ16" s="2"/>
      <c r="HR16" s="2"/>
      <c r="HS16" s="2"/>
      <c r="HT16" s="2"/>
      <c r="HU16" s="2"/>
      <c r="HV16" s="2"/>
      <c r="HW16" s="2"/>
      <c r="HX16" s="2" t="s">
        <v>375</v>
      </c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 t="s">
        <v>2052</v>
      </c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 t="s">
        <v>566</v>
      </c>
      <c r="JU16" s="2"/>
      <c r="JV16" s="2" t="s">
        <v>511</v>
      </c>
      <c r="JW16" s="2"/>
      <c r="JX16" s="2"/>
      <c r="JY16" s="2"/>
      <c r="JZ16" s="2"/>
      <c r="KA16" s="2"/>
      <c r="KB16" s="2"/>
      <c r="KC16" s="2" t="s">
        <v>2880</v>
      </c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 t="s">
        <v>3155</v>
      </c>
      <c r="LT16" s="2"/>
      <c r="LU16" s="2"/>
      <c r="LV16" s="2" t="s">
        <v>1513</v>
      </c>
      <c r="LW16" s="2"/>
    </row>
    <row r="17" spans="1:335">
      <c r="A17" s="2"/>
      <c r="B17" s="2" t="s">
        <v>2864</v>
      </c>
      <c r="C17" s="2"/>
      <c r="D17" s="2"/>
      <c r="E17" s="2" t="s">
        <v>1621</v>
      </c>
      <c r="F17" s="2"/>
      <c r="G17" s="2"/>
      <c r="H17" s="2"/>
      <c r="I17" s="2"/>
      <c r="J17" s="2" t="s">
        <v>1150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 t="s">
        <v>1564</v>
      </c>
      <c r="X17" s="2"/>
      <c r="Y17" s="2"/>
      <c r="Z17" s="2"/>
      <c r="AA17" s="2" t="s">
        <v>626</v>
      </c>
      <c r="AB17" s="2"/>
      <c r="AC17" s="2"/>
      <c r="AD17" s="2"/>
      <c r="AE17" s="2"/>
      <c r="AF17" s="2"/>
      <c r="AG17" s="2"/>
      <c r="AH17" s="2"/>
      <c r="AI17" s="2"/>
      <c r="AJ17" s="2"/>
      <c r="AK17" s="2" t="s">
        <v>3080</v>
      </c>
      <c r="AL17" s="2"/>
      <c r="AM17" s="2" t="s">
        <v>219</v>
      </c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 t="s">
        <v>1495</v>
      </c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 t="s">
        <v>308</v>
      </c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 t="s">
        <v>698</v>
      </c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 t="s">
        <v>2920</v>
      </c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 t="s">
        <v>3344</v>
      </c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 t="s">
        <v>2773</v>
      </c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 t="s">
        <v>781</v>
      </c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 t="s">
        <v>3062</v>
      </c>
      <c r="HO17" s="2"/>
      <c r="HP17" s="2"/>
      <c r="HQ17" s="2"/>
      <c r="HR17" s="2"/>
      <c r="HS17" s="2"/>
      <c r="HT17" s="2"/>
      <c r="HU17" s="2"/>
      <c r="HV17" s="2"/>
      <c r="HW17" s="2"/>
      <c r="HX17" s="2" t="s">
        <v>379</v>
      </c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 t="s">
        <v>2053</v>
      </c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 t="s">
        <v>569</v>
      </c>
      <c r="JU17" s="2"/>
      <c r="JV17" s="2" t="s">
        <v>514</v>
      </c>
      <c r="JW17" s="2"/>
      <c r="JX17" s="2"/>
      <c r="JY17" s="2"/>
      <c r="JZ17" s="2"/>
      <c r="KA17" s="2"/>
      <c r="KB17" s="2"/>
      <c r="KC17" s="2" t="s">
        <v>2881</v>
      </c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 t="s">
        <v>3156</v>
      </c>
      <c r="LT17" s="2"/>
      <c r="LU17" s="2"/>
      <c r="LV17" s="2" t="s">
        <v>1514</v>
      </c>
      <c r="LW17" s="2"/>
    </row>
    <row r="18" spans="1:335">
      <c r="A18" s="2"/>
      <c r="B18" s="2" t="s">
        <v>2865</v>
      </c>
      <c r="C18" s="2"/>
      <c r="D18" s="2"/>
      <c r="E18" s="2" t="s">
        <v>1622</v>
      </c>
      <c r="F18" s="2"/>
      <c r="G18" s="2"/>
      <c r="H18" s="2"/>
      <c r="I18" s="2"/>
      <c r="J18" s="2" t="s">
        <v>1153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 t="s">
        <v>1565</v>
      </c>
      <c r="X18" s="2"/>
      <c r="Y18" s="2"/>
      <c r="Z18" s="2"/>
      <c r="AA18" s="2" t="s">
        <v>629</v>
      </c>
      <c r="AB18" s="2"/>
      <c r="AC18" s="2"/>
      <c r="AD18" s="2"/>
      <c r="AE18" s="2"/>
      <c r="AF18" s="2"/>
      <c r="AG18" s="2"/>
      <c r="AH18" s="2"/>
      <c r="AI18" s="2"/>
      <c r="AJ18" s="2"/>
      <c r="AK18" s="2" t="s">
        <v>3081</v>
      </c>
      <c r="AL18" s="2"/>
      <c r="AM18" s="2" t="s">
        <v>224</v>
      </c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 t="s">
        <v>1496</v>
      </c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 t="s">
        <v>312</v>
      </c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 t="s">
        <v>701</v>
      </c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 t="s">
        <v>2921</v>
      </c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 t="s">
        <v>3345</v>
      </c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 t="s">
        <v>2774</v>
      </c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 t="s">
        <v>3063</v>
      </c>
      <c r="HO18" s="2"/>
      <c r="HP18" s="2"/>
      <c r="HQ18" s="2"/>
      <c r="HR18" s="2"/>
      <c r="HS18" s="2"/>
      <c r="HT18" s="2"/>
      <c r="HU18" s="2"/>
      <c r="HV18" s="2"/>
      <c r="HW18" s="2"/>
      <c r="HX18" s="2" t="s">
        <v>383</v>
      </c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 t="s">
        <v>2054</v>
      </c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 t="s">
        <v>572</v>
      </c>
      <c r="JU18" s="2"/>
      <c r="JV18" s="2" t="s">
        <v>517</v>
      </c>
      <c r="JW18" s="2"/>
      <c r="JX18" s="2"/>
      <c r="JY18" s="2"/>
      <c r="JZ18" s="2"/>
      <c r="KA18" s="2"/>
      <c r="KB18" s="2"/>
      <c r="KC18" s="2" t="s">
        <v>2882</v>
      </c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</row>
    <row r="19" spans="1:335">
      <c r="A19" s="2"/>
      <c r="B19" s="2" t="s">
        <v>2866</v>
      </c>
      <c r="C19" s="2"/>
      <c r="D19" s="2"/>
      <c r="E19" s="2" t="s">
        <v>1623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 t="s">
        <v>632</v>
      </c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 t="s">
        <v>229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 t="s">
        <v>1497</v>
      </c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 t="s">
        <v>315</v>
      </c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 t="s">
        <v>2922</v>
      </c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 t="s">
        <v>3346</v>
      </c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 t="s">
        <v>3064</v>
      </c>
      <c r="HO19" s="2"/>
      <c r="HP19" s="2"/>
      <c r="HQ19" s="2"/>
      <c r="HR19" s="2"/>
      <c r="HS19" s="2"/>
      <c r="HT19" s="2"/>
      <c r="HU19" s="2"/>
      <c r="HV19" s="2"/>
      <c r="HW19" s="2"/>
      <c r="HX19" s="2" t="s">
        <v>387</v>
      </c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 t="s">
        <v>2055</v>
      </c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 t="s">
        <v>575</v>
      </c>
      <c r="JU19" s="2"/>
      <c r="JV19" s="2" t="s">
        <v>520</v>
      </c>
      <c r="JW19" s="2"/>
      <c r="JX19" s="2"/>
      <c r="JY19" s="2"/>
      <c r="JZ19" s="2"/>
      <c r="KA19" s="2"/>
      <c r="KB19" s="2"/>
      <c r="KC19" s="2" t="s">
        <v>2883</v>
      </c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</row>
    <row r="20" spans="1:335">
      <c r="A20" s="2"/>
      <c r="B20" s="2" t="s">
        <v>2867</v>
      </c>
      <c r="C20" s="2"/>
      <c r="D20" s="2"/>
      <c r="E20" s="2" t="s">
        <v>1624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 t="s">
        <v>635</v>
      </c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 t="s">
        <v>1498</v>
      </c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 t="s">
        <v>2923</v>
      </c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 t="s">
        <v>391</v>
      </c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 t="s">
        <v>578</v>
      </c>
      <c r="JU20" s="2"/>
      <c r="JV20" s="2" t="s">
        <v>523</v>
      </c>
      <c r="JW20" s="2"/>
      <c r="JX20" s="2"/>
      <c r="JY20" s="2"/>
      <c r="JZ20" s="2"/>
      <c r="KA20" s="2"/>
      <c r="KB20" s="2"/>
      <c r="KC20" s="2" t="s">
        <v>2884</v>
      </c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</row>
    <row r="21" spans="1:3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 t="s">
        <v>638</v>
      </c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 t="s">
        <v>395</v>
      </c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 t="s">
        <v>2885</v>
      </c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</row>
    <row r="22" spans="1:3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 t="s">
        <v>641</v>
      </c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 t="s">
        <v>398</v>
      </c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 t="s">
        <v>2886</v>
      </c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</row>
    <row r="23" spans="1:3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 t="s">
        <v>644</v>
      </c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 t="s">
        <v>401</v>
      </c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 t="s">
        <v>2887</v>
      </c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</row>
    <row r="24" spans="1:3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 t="s">
        <v>647</v>
      </c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 t="s">
        <v>404</v>
      </c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 t="s">
        <v>2888</v>
      </c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</row>
    <row r="25" spans="1:3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 t="s">
        <v>650</v>
      </c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 t="s">
        <v>2889</v>
      </c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</row>
    <row r="26" spans="1:3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 t="s">
        <v>653</v>
      </c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 t="s">
        <v>2890</v>
      </c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</row>
    <row r="27" spans="1:3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 t="s">
        <v>2891</v>
      </c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</row>
    <row r="28" spans="1:3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 t="s">
        <v>2892</v>
      </c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</row>
    <row r="29" spans="1:3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 t="s">
        <v>2893</v>
      </c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</row>
    <row r="30" spans="1:3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 t="s">
        <v>2894</v>
      </c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</row>
    <row r="31" spans="1:3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 t="s">
        <v>2895</v>
      </c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</row>
    <row r="32" spans="1:3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 t="s">
        <v>2896</v>
      </c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</row>
    <row r="33" spans="1:3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 t="s">
        <v>2897</v>
      </c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</row>
    <row r="34" spans="1:3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 t="s">
        <v>2898</v>
      </c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</row>
    <row r="35" spans="1:3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 t="s">
        <v>2899</v>
      </c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</row>
    <row r="36" spans="1:3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 t="s">
        <v>2900</v>
      </c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</row>
    <row r="37" spans="1:3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 t="s">
        <v>2901</v>
      </c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</row>
    <row r="38" spans="1:3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 t="s">
        <v>2902</v>
      </c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</row>
    <row r="39" spans="1:3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 t="s">
        <v>2903</v>
      </c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</row>
    <row r="40" spans="1:3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 t="s">
        <v>2904</v>
      </c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</row>
    <row r="41" spans="1:3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 t="s">
        <v>2905</v>
      </c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个人简历</vt:lpstr>
      <vt:lpstr>选项</vt:lpstr>
      <vt:lpstr>省市关系</vt:lpstr>
      <vt:lpstr>市地区关系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小虽</cp:lastModifiedBy>
  <dcterms:created xsi:type="dcterms:W3CDTF">2006-09-16T00:00:00Z</dcterms:created>
  <dcterms:modified xsi:type="dcterms:W3CDTF">2019-03-26T08:14:46Z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